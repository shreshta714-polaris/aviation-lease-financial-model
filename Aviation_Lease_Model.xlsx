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ven docs\GIES\"/>
    </mc:Choice>
  </mc:AlternateContent>
  <xr:revisionPtr revIDLastSave="0" documentId="13_ncr:1_{E0663CCE-201A-4EA3-8974-75D8AF26EC18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puts" sheetId="1" r:id="rId1"/>
    <sheet name="Debt Schedule" sheetId="2" r:id="rId2"/>
    <sheet name="Calculations" sheetId="3" r:id="rId3"/>
    <sheet name="Cash Flows" sheetId="4" r:id="rId4"/>
    <sheet name="Dashboard" sheetId="5" r:id="rId5"/>
    <sheet name="Python_Refere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4" l="1"/>
  <c r="C39" i="4" s="1"/>
  <c r="I5" i="5" s="1"/>
  <c r="C34" i="4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91" i="2"/>
  <c r="H62" i="2"/>
  <c r="H59" i="2"/>
  <c r="H47" i="2"/>
  <c r="C43" i="2"/>
  <c r="C24" i="2"/>
  <c r="H14" i="2"/>
  <c r="D12" i="2"/>
  <c r="C12" i="2"/>
  <c r="C117" i="2" s="1"/>
  <c r="C9" i="2"/>
  <c r="C7" i="4" s="1"/>
  <c r="C7" i="2"/>
  <c r="D4" i="2"/>
  <c r="B4" i="2"/>
  <c r="C87" i="1"/>
  <c r="J4" i="2" s="1"/>
  <c r="C86" i="1"/>
  <c r="C85" i="1"/>
  <c r="C84" i="1"/>
  <c r="C38" i="4" s="1"/>
  <c r="C83" i="1"/>
  <c r="C82" i="1"/>
  <c r="C81" i="1"/>
  <c r="C80" i="1"/>
  <c r="C79" i="1"/>
  <c r="H4" i="2" s="1"/>
  <c r="C78" i="1"/>
  <c r="C77" i="1"/>
  <c r="C76" i="1"/>
  <c r="C6" i="4" s="1"/>
  <c r="C75" i="1"/>
  <c r="C74" i="1"/>
  <c r="C71" i="1"/>
  <c r="C69" i="1"/>
  <c r="C68" i="1"/>
  <c r="C67" i="1"/>
  <c r="C66" i="1"/>
  <c r="C65" i="1"/>
  <c r="C72" i="1" s="1"/>
  <c r="C73" i="1" s="1"/>
  <c r="F47" i="1"/>
  <c r="C47" i="1"/>
  <c r="F25" i="1"/>
  <c r="C25" i="1"/>
  <c r="F15" i="1"/>
  <c r="C15" i="1"/>
  <c r="K48" i="5"/>
  <c r="K47" i="5"/>
  <c r="H5" i="5"/>
  <c r="A2" i="5"/>
  <c r="E5" i="5" l="1"/>
  <c r="H19" i="2"/>
  <c r="C36" i="2"/>
  <c r="H38" i="2"/>
  <c r="C48" i="2"/>
  <c r="C88" i="2"/>
  <c r="C99" i="2"/>
  <c r="C153" i="2"/>
  <c r="C151" i="2"/>
  <c r="C154" i="2"/>
  <c r="C148" i="2"/>
  <c r="C140" i="2"/>
  <c r="C132" i="2"/>
  <c r="C124" i="2"/>
  <c r="C116" i="2"/>
  <c r="C108" i="2"/>
  <c r="C155" i="2"/>
  <c r="C147" i="2"/>
  <c r="C156" i="2"/>
  <c r="C145" i="2"/>
  <c r="C144" i="2"/>
  <c r="C136" i="2"/>
  <c r="C128" i="2"/>
  <c r="C120" i="2"/>
  <c r="C112" i="2"/>
  <c r="C104" i="2"/>
  <c r="C143" i="2"/>
  <c r="C135" i="2"/>
  <c r="C127" i="2"/>
  <c r="C152" i="2"/>
  <c r="C129" i="2"/>
  <c r="C126" i="2"/>
  <c r="C118" i="2"/>
  <c r="C105" i="2"/>
  <c r="C98" i="2"/>
  <c r="C90" i="2"/>
  <c r="C82" i="2"/>
  <c r="C74" i="2"/>
  <c r="C66" i="2"/>
  <c r="C58" i="2"/>
  <c r="C50" i="2"/>
  <c r="C42" i="2"/>
  <c r="C34" i="2"/>
  <c r="C26" i="2"/>
  <c r="C18" i="2"/>
  <c r="C133" i="2"/>
  <c r="C123" i="2"/>
  <c r="C119" i="2"/>
  <c r="C106" i="2"/>
  <c r="C97" i="2"/>
  <c r="C89" i="2"/>
  <c r="C81" i="2"/>
  <c r="C73" i="2"/>
  <c r="C65" i="2"/>
  <c r="C57" i="2"/>
  <c r="C49" i="2"/>
  <c r="C41" i="2"/>
  <c r="C33" i="2"/>
  <c r="C25" i="2"/>
  <c r="C17" i="2"/>
  <c r="C150" i="2"/>
  <c r="C130" i="2"/>
  <c r="C113" i="2"/>
  <c r="C107" i="2"/>
  <c r="C96" i="2"/>
  <c r="C137" i="2"/>
  <c r="C134" i="2"/>
  <c r="C114" i="2"/>
  <c r="C95" i="2"/>
  <c r="C87" i="2"/>
  <c r="C79" i="2"/>
  <c r="C71" i="2"/>
  <c r="C63" i="2"/>
  <c r="C55" i="2"/>
  <c r="C47" i="2"/>
  <c r="C39" i="2"/>
  <c r="C31" i="2"/>
  <c r="C23" i="2"/>
  <c r="C15" i="2"/>
  <c r="C141" i="2"/>
  <c r="C131" i="2"/>
  <c r="C115" i="2"/>
  <c r="C102" i="2"/>
  <c r="C94" i="2"/>
  <c r="C86" i="2"/>
  <c r="C78" i="2"/>
  <c r="C70" i="2"/>
  <c r="C62" i="2"/>
  <c r="C54" i="2"/>
  <c r="C46" i="2"/>
  <c r="C38" i="2"/>
  <c r="C30" i="2"/>
  <c r="C22" i="2"/>
  <c r="C14" i="2"/>
  <c r="C149" i="2"/>
  <c r="C138" i="2"/>
  <c r="C121" i="2"/>
  <c r="C109" i="2"/>
  <c r="C103" i="2"/>
  <c r="C101" i="2"/>
  <c r="C93" i="2"/>
  <c r="C85" i="2"/>
  <c r="C77" i="2"/>
  <c r="C69" i="2"/>
  <c r="C61" i="2"/>
  <c r="C53" i="2"/>
  <c r="C45" i="2"/>
  <c r="C37" i="2"/>
  <c r="C29" i="2"/>
  <c r="C21" i="2"/>
  <c r="C13" i="2"/>
  <c r="C125" i="2"/>
  <c r="C110" i="2"/>
  <c r="C100" i="2"/>
  <c r="C92" i="2"/>
  <c r="C84" i="2"/>
  <c r="C76" i="2"/>
  <c r="C68" i="2"/>
  <c r="C146" i="2"/>
  <c r="C142" i="2"/>
  <c r="C139" i="2"/>
  <c r="C27" i="2"/>
  <c r="H31" i="2"/>
  <c r="H43" i="2"/>
  <c r="C60" i="2"/>
  <c r="C67" i="2"/>
  <c r="H70" i="2"/>
  <c r="H156" i="2"/>
  <c r="H154" i="2"/>
  <c r="D155" i="2"/>
  <c r="D147" i="2"/>
  <c r="H143" i="2"/>
  <c r="D139" i="2"/>
  <c r="H135" i="2"/>
  <c r="H127" i="2"/>
  <c r="H119" i="2"/>
  <c r="H111" i="2"/>
  <c r="H103" i="2"/>
  <c r="D156" i="2"/>
  <c r="H152" i="2"/>
  <c r="H151" i="2"/>
  <c r="H150" i="2"/>
  <c r="D146" i="2"/>
  <c r="H142" i="2"/>
  <c r="H153" i="2"/>
  <c r="H149" i="2"/>
  <c r="H148" i="2"/>
  <c r="H147" i="2"/>
  <c r="D143" i="2"/>
  <c r="H139" i="2"/>
  <c r="D135" i="2"/>
  <c r="H131" i="2"/>
  <c r="H123" i="2"/>
  <c r="H115" i="2"/>
  <c r="H107" i="2"/>
  <c r="H155" i="2"/>
  <c r="D152" i="2"/>
  <c r="D151" i="2"/>
  <c r="D150" i="2"/>
  <c r="H146" i="2"/>
  <c r="D142" i="2"/>
  <c r="H138" i="2"/>
  <c r="D134" i="2"/>
  <c r="H130" i="2"/>
  <c r="H122" i="2"/>
  <c r="D153" i="2"/>
  <c r="D148" i="2"/>
  <c r="H145" i="2"/>
  <c r="D136" i="2"/>
  <c r="H134" i="2"/>
  <c r="D133" i="2"/>
  <c r="H108" i="2"/>
  <c r="H102" i="2"/>
  <c r="H101" i="2"/>
  <c r="H93" i="2"/>
  <c r="H85" i="2"/>
  <c r="H77" i="2"/>
  <c r="H69" i="2"/>
  <c r="H61" i="2"/>
  <c r="H53" i="2"/>
  <c r="H45" i="2"/>
  <c r="H37" i="2"/>
  <c r="H29" i="2"/>
  <c r="H21" i="2"/>
  <c r="H13" i="2"/>
  <c r="H141" i="2"/>
  <c r="D140" i="2"/>
  <c r="H124" i="2"/>
  <c r="H121" i="2"/>
  <c r="H109" i="2"/>
  <c r="H100" i="2"/>
  <c r="H92" i="2"/>
  <c r="H84" i="2"/>
  <c r="H76" i="2"/>
  <c r="H68" i="2"/>
  <c r="H60" i="2"/>
  <c r="H52" i="2"/>
  <c r="H44" i="2"/>
  <c r="H36" i="2"/>
  <c r="H28" i="2"/>
  <c r="H20" i="2"/>
  <c r="D145" i="2"/>
  <c r="D137" i="2"/>
  <c r="H128" i="2"/>
  <c r="H116" i="2"/>
  <c r="H110" i="2"/>
  <c r="H99" i="2"/>
  <c r="H91" i="2"/>
  <c r="D141" i="2"/>
  <c r="H125" i="2"/>
  <c r="H117" i="2"/>
  <c r="H104" i="2"/>
  <c r="H98" i="2"/>
  <c r="H90" i="2"/>
  <c r="H82" i="2"/>
  <c r="H74" i="2"/>
  <c r="H66" i="2"/>
  <c r="H58" i="2"/>
  <c r="H50" i="2"/>
  <c r="H42" i="2"/>
  <c r="H34" i="2"/>
  <c r="H26" i="2"/>
  <c r="H18" i="2"/>
  <c r="D149" i="2"/>
  <c r="H144" i="2"/>
  <c r="D138" i="2"/>
  <c r="H129" i="2"/>
  <c r="H118" i="2"/>
  <c r="H105" i="2"/>
  <c r="H97" i="2"/>
  <c r="H89" i="2"/>
  <c r="H81" i="2"/>
  <c r="H73" i="2"/>
  <c r="H65" i="2"/>
  <c r="H57" i="2"/>
  <c r="H49" i="2"/>
  <c r="H41" i="2"/>
  <c r="H33" i="2"/>
  <c r="H25" i="2"/>
  <c r="H17" i="2"/>
  <c r="D13" i="2"/>
  <c r="D154" i="2"/>
  <c r="H136" i="2"/>
  <c r="H126" i="2"/>
  <c r="H112" i="2"/>
  <c r="H106" i="2"/>
  <c r="H96" i="2"/>
  <c r="H88" i="2"/>
  <c r="H80" i="2"/>
  <c r="H72" i="2"/>
  <c r="H64" i="2"/>
  <c r="H56" i="2"/>
  <c r="H48" i="2"/>
  <c r="H40" i="2"/>
  <c r="H32" i="2"/>
  <c r="H24" i="2"/>
  <c r="H16" i="2"/>
  <c r="D144" i="2"/>
  <c r="H133" i="2"/>
  <c r="H113" i="2"/>
  <c r="H95" i="2"/>
  <c r="H87" i="2"/>
  <c r="H79" i="2"/>
  <c r="H71" i="2"/>
  <c r="H63" i="2"/>
  <c r="H140" i="2"/>
  <c r="H137" i="2"/>
  <c r="C20" i="2"/>
  <c r="H22" i="2"/>
  <c r="C32" i="2"/>
  <c r="C51" i="2"/>
  <c r="H55" i="2"/>
  <c r="C64" i="2"/>
  <c r="H67" i="2"/>
  <c r="H15" i="2"/>
  <c r="H27" i="2"/>
  <c r="C44" i="2"/>
  <c r="H46" i="2"/>
  <c r="C56" i="2"/>
  <c r="C75" i="2"/>
  <c r="H78" i="2"/>
  <c r="H94" i="2"/>
  <c r="C111" i="2"/>
  <c r="H120" i="2"/>
  <c r="C16" i="2"/>
  <c r="C35" i="2"/>
  <c r="H39" i="2"/>
  <c r="H51" i="2"/>
  <c r="C72" i="2"/>
  <c r="H75" i="2"/>
  <c r="C122" i="2"/>
  <c r="C28" i="2"/>
  <c r="H30" i="2"/>
  <c r="C40" i="2"/>
  <c r="C59" i="2"/>
  <c r="C83" i="2"/>
  <c r="H86" i="2"/>
  <c r="C8" i="2"/>
  <c r="D144" i="3"/>
  <c r="D140" i="3"/>
  <c r="D136" i="3"/>
  <c r="D132" i="3"/>
  <c r="D128" i="3"/>
  <c r="D124" i="3"/>
  <c r="D120" i="3"/>
  <c r="D116" i="3"/>
  <c r="D112" i="3"/>
  <c r="D108" i="3"/>
  <c r="D104" i="3"/>
  <c r="D100" i="3"/>
  <c r="D96" i="3"/>
  <c r="D92" i="3"/>
  <c r="D88" i="3"/>
  <c r="D84" i="3"/>
  <c r="D147" i="3"/>
  <c r="D146" i="3"/>
  <c r="D145" i="3"/>
  <c r="D143" i="3"/>
  <c r="D133" i="3"/>
  <c r="D122" i="3"/>
  <c r="D111" i="3"/>
  <c r="D101" i="3"/>
  <c r="D90" i="3"/>
  <c r="D81" i="3"/>
  <c r="D77" i="3"/>
  <c r="D73" i="3"/>
  <c r="D69" i="3"/>
  <c r="D142" i="3"/>
  <c r="D131" i="3"/>
  <c r="D121" i="3"/>
  <c r="D110" i="3"/>
  <c r="D99" i="3"/>
  <c r="D89" i="3"/>
  <c r="D141" i="3"/>
  <c r="D130" i="3"/>
  <c r="D119" i="3"/>
  <c r="D109" i="3"/>
  <c r="D98" i="3"/>
  <c r="D87" i="3"/>
  <c r="D80" i="3"/>
  <c r="D76" i="3"/>
  <c r="D72" i="3"/>
  <c r="D68" i="3"/>
  <c r="D139" i="3"/>
  <c r="D129" i="3"/>
  <c r="D118" i="3"/>
  <c r="D107" i="3"/>
  <c r="D97" i="3"/>
  <c r="D86" i="3"/>
  <c r="D138" i="3"/>
  <c r="D127" i="3"/>
  <c r="D117" i="3"/>
  <c r="D106" i="3"/>
  <c r="D95" i="3"/>
  <c r="D85" i="3"/>
  <c r="D79" i="3"/>
  <c r="D75" i="3"/>
  <c r="D71" i="3"/>
  <c r="D67" i="3"/>
  <c r="D135" i="3"/>
  <c r="D125" i="3"/>
  <c r="D137" i="3"/>
  <c r="D102" i="3"/>
  <c r="D94" i="3"/>
  <c r="D74" i="3"/>
  <c r="D64" i="3"/>
  <c r="D60" i="3"/>
  <c r="D56" i="3"/>
  <c r="D52" i="3"/>
  <c r="D48" i="3"/>
  <c r="D44" i="3"/>
  <c r="D40" i="3"/>
  <c r="D36" i="3"/>
  <c r="D32" i="3"/>
  <c r="D28" i="3"/>
  <c r="D114" i="3"/>
  <c r="D70" i="3"/>
  <c r="D83" i="3"/>
  <c r="D63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7" i="3"/>
  <c r="D134" i="3"/>
  <c r="D126" i="3"/>
  <c r="D91" i="3"/>
  <c r="D103" i="3"/>
  <c r="D93" i="3"/>
  <c r="D66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" i="3"/>
  <c r="D6" i="3"/>
  <c r="D115" i="3"/>
  <c r="D113" i="3"/>
  <c r="D105" i="3"/>
  <c r="D123" i="3"/>
  <c r="D82" i="3"/>
  <c r="D45" i="3"/>
  <c r="D57" i="3"/>
  <c r="D25" i="3"/>
  <c r="D9" i="3"/>
  <c r="D8" i="3"/>
  <c r="D37" i="3"/>
  <c r="D21" i="3"/>
  <c r="D49" i="3"/>
  <c r="D13" i="3"/>
  <c r="D12" i="3"/>
  <c r="D61" i="3"/>
  <c r="D29" i="3"/>
  <c r="D41" i="3"/>
  <c r="D24" i="3"/>
  <c r="D17" i="3"/>
  <c r="D16" i="3"/>
  <c r="D78" i="3"/>
  <c r="D53" i="3"/>
  <c r="D33" i="3"/>
  <c r="D4" i="3"/>
  <c r="D20" i="3"/>
  <c r="D65" i="3"/>
  <c r="D5" i="3"/>
  <c r="F147" i="3"/>
  <c r="F143" i="3"/>
  <c r="F139" i="3"/>
  <c r="F135" i="3"/>
  <c r="F131" i="3"/>
  <c r="F127" i="3"/>
  <c r="F123" i="3"/>
  <c r="F119" i="3"/>
  <c r="F115" i="3"/>
  <c r="F111" i="3"/>
  <c r="F107" i="3"/>
  <c r="F103" i="3"/>
  <c r="F99" i="3"/>
  <c r="F95" i="3"/>
  <c r="F91" i="3"/>
  <c r="F87" i="3"/>
  <c r="F83" i="3"/>
  <c r="F141" i="3"/>
  <c r="F130" i="3"/>
  <c r="F120" i="3"/>
  <c r="F109" i="3"/>
  <c r="F98" i="3"/>
  <c r="F88" i="3"/>
  <c r="F80" i="3"/>
  <c r="F76" i="3"/>
  <c r="F72" i="3"/>
  <c r="F68" i="3"/>
  <c r="F140" i="3"/>
  <c r="F129" i="3"/>
  <c r="F118" i="3"/>
  <c r="F108" i="3"/>
  <c r="F97" i="3"/>
  <c r="F86" i="3"/>
  <c r="F138" i="3"/>
  <c r="F128" i="3"/>
  <c r="F117" i="3"/>
  <c r="F106" i="3"/>
  <c r="F96" i="3"/>
  <c r="F85" i="3"/>
  <c r="F79" i="3"/>
  <c r="F75" i="3"/>
  <c r="F71" i="3"/>
  <c r="F67" i="3"/>
  <c r="F137" i="3"/>
  <c r="F126" i="3"/>
  <c r="F116" i="3"/>
  <c r="F105" i="3"/>
  <c r="F94" i="3"/>
  <c r="F84" i="3"/>
  <c r="F136" i="3"/>
  <c r="F125" i="3"/>
  <c r="F114" i="3"/>
  <c r="F104" i="3"/>
  <c r="F93" i="3"/>
  <c r="F82" i="3"/>
  <c r="F78" i="3"/>
  <c r="F74" i="3"/>
  <c r="F70" i="3"/>
  <c r="F66" i="3"/>
  <c r="F145" i="3"/>
  <c r="F112" i="3"/>
  <c r="F100" i="3"/>
  <c r="F63" i="3"/>
  <c r="F59" i="3"/>
  <c r="F55" i="3"/>
  <c r="F51" i="3"/>
  <c r="F47" i="3"/>
  <c r="F43" i="3"/>
  <c r="F39" i="3"/>
  <c r="F35" i="3"/>
  <c r="F31" i="3"/>
  <c r="F27" i="3"/>
  <c r="F134" i="3"/>
  <c r="F124" i="3"/>
  <c r="F122" i="3"/>
  <c r="F110" i="3"/>
  <c r="F81" i="3"/>
  <c r="F77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6" i="3"/>
  <c r="F146" i="3"/>
  <c r="F144" i="3"/>
  <c r="F132" i="3"/>
  <c r="F113" i="3"/>
  <c r="F101" i="3"/>
  <c r="F89" i="3"/>
  <c r="F73" i="3"/>
  <c r="F142" i="3"/>
  <c r="F65" i="3"/>
  <c r="F61" i="3"/>
  <c r="F57" i="3"/>
  <c r="F53" i="3"/>
  <c r="F49" i="3"/>
  <c r="F45" i="3"/>
  <c r="F41" i="3"/>
  <c r="F37" i="3"/>
  <c r="F33" i="3"/>
  <c r="F29" i="3"/>
  <c r="F25" i="3"/>
  <c r="F21" i="3"/>
  <c r="F17" i="3"/>
  <c r="F13" i="3"/>
  <c r="F9" i="3"/>
  <c r="F5" i="3"/>
  <c r="F133" i="3"/>
  <c r="F121" i="3"/>
  <c r="F102" i="3"/>
  <c r="F92" i="3"/>
  <c r="F90" i="3"/>
  <c r="F52" i="3"/>
  <c r="F64" i="3"/>
  <c r="F32" i="3"/>
  <c r="F23" i="3"/>
  <c r="F12" i="3"/>
  <c r="F11" i="3"/>
  <c r="F44" i="3"/>
  <c r="F56" i="3"/>
  <c r="F24" i="3"/>
  <c r="F19" i="3"/>
  <c r="F16" i="3"/>
  <c r="F15" i="3"/>
  <c r="F69" i="3"/>
  <c r="F36" i="3"/>
  <c r="F48" i="3"/>
  <c r="F20" i="3"/>
  <c r="F4" i="3"/>
  <c r="F60" i="3"/>
  <c r="F28" i="3"/>
  <c r="F8" i="3"/>
  <c r="F7" i="3"/>
  <c r="F40" i="3"/>
  <c r="D50" i="5" s="1"/>
  <c r="F4" i="2"/>
  <c r="C19" i="2"/>
  <c r="H23" i="2"/>
  <c r="H35" i="2"/>
  <c r="C52" i="2"/>
  <c r="H54" i="2"/>
  <c r="C80" i="2"/>
  <c r="H83" i="2"/>
  <c r="H114" i="2"/>
  <c r="C6" i="2"/>
  <c r="H132" i="2" s="1"/>
  <c r="C21" i="4"/>
  <c r="C5" i="4"/>
  <c r="C8" i="4" s="1"/>
  <c r="C29" i="4" s="1"/>
  <c r="C4" i="4"/>
  <c r="D55" i="5" l="1"/>
  <c r="G20" i="3"/>
  <c r="E20" i="3"/>
  <c r="H20" i="3" s="1"/>
  <c r="G41" i="3"/>
  <c r="E41" i="3"/>
  <c r="H41" i="3" s="1"/>
  <c r="E8" i="3"/>
  <c r="G8" i="3"/>
  <c r="G113" i="3"/>
  <c r="E113" i="3"/>
  <c r="G30" i="3"/>
  <c r="E30" i="3"/>
  <c r="H30" i="3" s="1"/>
  <c r="G62" i="3"/>
  <c r="E62" i="3"/>
  <c r="H62" i="3" s="1"/>
  <c r="G11" i="3"/>
  <c r="E11" i="3"/>
  <c r="H11" i="3" s="1"/>
  <c r="E43" i="3"/>
  <c r="H43" i="3" s="1"/>
  <c r="G43" i="3"/>
  <c r="G114" i="3"/>
  <c r="E114" i="3"/>
  <c r="H114" i="3" s="1"/>
  <c r="G56" i="3"/>
  <c r="E56" i="3"/>
  <c r="H56" i="3" s="1"/>
  <c r="G135" i="3"/>
  <c r="E135" i="3"/>
  <c r="H135" i="3" s="1"/>
  <c r="G117" i="3"/>
  <c r="E117" i="3"/>
  <c r="G139" i="3"/>
  <c r="E139" i="3"/>
  <c r="H139" i="3" s="1"/>
  <c r="G119" i="3"/>
  <c r="E119" i="3"/>
  <c r="H119" i="3" s="1"/>
  <c r="E142" i="3"/>
  <c r="G142" i="3"/>
  <c r="G122" i="3"/>
  <c r="E122" i="3"/>
  <c r="G92" i="3"/>
  <c r="E92" i="3"/>
  <c r="H92" i="3" s="1"/>
  <c r="G124" i="3"/>
  <c r="E124" i="3"/>
  <c r="J141" i="2"/>
  <c r="I141" i="2"/>
  <c r="I132" i="3" s="1"/>
  <c r="F141" i="2"/>
  <c r="E141" i="2"/>
  <c r="K141" i="2"/>
  <c r="G141" i="2"/>
  <c r="H157" i="2"/>
  <c r="K153" i="2"/>
  <c r="I153" i="2"/>
  <c r="I144" i="3" s="1"/>
  <c r="J153" i="2"/>
  <c r="G153" i="2"/>
  <c r="F153" i="2"/>
  <c r="E153" i="2"/>
  <c r="I150" i="2"/>
  <c r="I141" i="3" s="1"/>
  <c r="G150" i="2"/>
  <c r="F150" i="2"/>
  <c r="E150" i="2"/>
  <c r="K150" i="2"/>
  <c r="J150" i="2"/>
  <c r="F156" i="2"/>
  <c r="E156" i="2"/>
  <c r="K156" i="2"/>
  <c r="J156" i="2"/>
  <c r="I156" i="2"/>
  <c r="G156" i="2"/>
  <c r="G143" i="2"/>
  <c r="K143" i="2"/>
  <c r="I143" i="2"/>
  <c r="I134" i="3" s="1"/>
  <c r="F143" i="2"/>
  <c r="E143" i="2"/>
  <c r="J143" i="2"/>
  <c r="G24" i="3"/>
  <c r="E24" i="3"/>
  <c r="H24" i="3" s="1"/>
  <c r="E7" i="3"/>
  <c r="G7" i="3"/>
  <c r="G125" i="3"/>
  <c r="E125" i="3"/>
  <c r="E88" i="3"/>
  <c r="G88" i="3"/>
  <c r="D49" i="5"/>
  <c r="D56" i="5"/>
  <c r="G4" i="3"/>
  <c r="E4" i="3"/>
  <c r="G29" i="3"/>
  <c r="E29" i="3"/>
  <c r="E9" i="3"/>
  <c r="H9" i="3" s="1"/>
  <c r="G9" i="3"/>
  <c r="G115" i="3"/>
  <c r="E115" i="3"/>
  <c r="H115" i="3" s="1"/>
  <c r="G34" i="3"/>
  <c r="E34" i="3"/>
  <c r="H34" i="3" s="1"/>
  <c r="G66" i="3"/>
  <c r="E66" i="3"/>
  <c r="G15" i="3"/>
  <c r="E15" i="3"/>
  <c r="E47" i="3"/>
  <c r="G47" i="3"/>
  <c r="G28" i="3"/>
  <c r="E28" i="3"/>
  <c r="G60" i="3"/>
  <c r="E60" i="3"/>
  <c r="G67" i="3"/>
  <c r="E67" i="3"/>
  <c r="G127" i="3"/>
  <c r="E127" i="3"/>
  <c r="H127" i="3" s="1"/>
  <c r="G68" i="3"/>
  <c r="E68" i="3"/>
  <c r="H68" i="3" s="1"/>
  <c r="E130" i="3"/>
  <c r="H130" i="3" s="1"/>
  <c r="G130" i="3"/>
  <c r="G69" i="3"/>
  <c r="E69" i="3"/>
  <c r="E133" i="3"/>
  <c r="G133" i="3"/>
  <c r="G96" i="3"/>
  <c r="E96" i="3"/>
  <c r="H96" i="3" s="1"/>
  <c r="G128" i="3"/>
  <c r="E128" i="3"/>
  <c r="E138" i="2"/>
  <c r="I138" i="2"/>
  <c r="I129" i="3" s="1"/>
  <c r="K138" i="2"/>
  <c r="J138" i="2"/>
  <c r="G138" i="2"/>
  <c r="F138" i="2"/>
  <c r="F137" i="2"/>
  <c r="J137" i="2"/>
  <c r="I137" i="2"/>
  <c r="I128" i="3" s="1"/>
  <c r="G137" i="2"/>
  <c r="E137" i="2"/>
  <c r="K137" i="2"/>
  <c r="K151" i="2"/>
  <c r="I151" i="2"/>
  <c r="I142" i="3" s="1"/>
  <c r="G151" i="2"/>
  <c r="F151" i="2"/>
  <c r="E151" i="2"/>
  <c r="J151" i="2"/>
  <c r="G123" i="3"/>
  <c r="E123" i="3"/>
  <c r="H123" i="3" s="1"/>
  <c r="E35" i="3"/>
  <c r="G35" i="3"/>
  <c r="G48" i="3"/>
  <c r="E48" i="3"/>
  <c r="G118" i="3"/>
  <c r="E118" i="3"/>
  <c r="E98" i="3"/>
  <c r="G98" i="3"/>
  <c r="G116" i="3"/>
  <c r="E116" i="3"/>
  <c r="H116" i="3" s="1"/>
  <c r="K140" i="2"/>
  <c r="G140" i="2"/>
  <c r="F140" i="2"/>
  <c r="E140" i="2"/>
  <c r="J140" i="2"/>
  <c r="I140" i="2"/>
  <c r="I131" i="3" s="1"/>
  <c r="C22" i="4"/>
  <c r="C23" i="4" s="1"/>
  <c r="G58" i="3"/>
  <c r="E58" i="3"/>
  <c r="G111" i="3"/>
  <c r="E111" i="3"/>
  <c r="D52" i="5"/>
  <c r="G33" i="3"/>
  <c r="E33" i="3"/>
  <c r="G61" i="3"/>
  <c r="E61" i="3"/>
  <c r="G25" i="3"/>
  <c r="E25" i="3"/>
  <c r="H25" i="3" s="1"/>
  <c r="G6" i="3"/>
  <c r="E6" i="3"/>
  <c r="H6" i="3" s="1"/>
  <c r="G38" i="3"/>
  <c r="E38" i="3"/>
  <c r="G93" i="3"/>
  <c r="E93" i="3"/>
  <c r="E19" i="3"/>
  <c r="G19" i="3"/>
  <c r="E51" i="3"/>
  <c r="G51" i="3"/>
  <c r="G32" i="3"/>
  <c r="E32" i="3"/>
  <c r="G64" i="3"/>
  <c r="E64" i="3"/>
  <c r="G71" i="3"/>
  <c r="E71" i="3"/>
  <c r="H71" i="3" s="1"/>
  <c r="G138" i="3"/>
  <c r="E138" i="3"/>
  <c r="H138" i="3" s="1"/>
  <c r="E72" i="3"/>
  <c r="H72" i="3" s="1"/>
  <c r="G72" i="3"/>
  <c r="E141" i="3"/>
  <c r="H141" i="3" s="1"/>
  <c r="G141" i="3"/>
  <c r="G73" i="3"/>
  <c r="E73" i="3"/>
  <c r="H73" i="3" s="1"/>
  <c r="G143" i="3"/>
  <c r="E143" i="3"/>
  <c r="H143" i="3" s="1"/>
  <c r="E100" i="3"/>
  <c r="G100" i="3"/>
  <c r="E132" i="3"/>
  <c r="H132" i="3" s="1"/>
  <c r="G132" i="3"/>
  <c r="F145" i="2"/>
  <c r="E145" i="2"/>
  <c r="K145" i="2"/>
  <c r="J145" i="2"/>
  <c r="I145" i="2"/>
  <c r="I136" i="3" s="1"/>
  <c r="G145" i="2"/>
  <c r="J152" i="2"/>
  <c r="I152" i="2"/>
  <c r="I143" i="3" s="1"/>
  <c r="G152" i="2"/>
  <c r="F152" i="2"/>
  <c r="E152" i="2"/>
  <c r="K152" i="2"/>
  <c r="G139" i="2"/>
  <c r="K139" i="2"/>
  <c r="J139" i="2"/>
  <c r="I139" i="2"/>
  <c r="I130" i="3" s="1"/>
  <c r="F139" i="2"/>
  <c r="E139" i="2"/>
  <c r="G21" i="3"/>
  <c r="E21" i="3"/>
  <c r="H21" i="3" s="1"/>
  <c r="G134" i="3"/>
  <c r="E134" i="3"/>
  <c r="G95" i="3"/>
  <c r="E95" i="3"/>
  <c r="G84" i="3"/>
  <c r="E84" i="3"/>
  <c r="H84" i="3" s="1"/>
  <c r="G105" i="3"/>
  <c r="E105" i="3"/>
  <c r="H105" i="3" s="1"/>
  <c r="G52" i="3"/>
  <c r="E52" i="3"/>
  <c r="E131" i="3"/>
  <c r="H131" i="3" s="1"/>
  <c r="G131" i="3"/>
  <c r="F148" i="3"/>
  <c r="C13" i="4"/>
  <c r="D51" i="5"/>
  <c r="G53" i="3"/>
  <c r="E53" i="3"/>
  <c r="H53" i="3" s="1"/>
  <c r="G12" i="3"/>
  <c r="E12" i="3"/>
  <c r="H12" i="3" s="1"/>
  <c r="G57" i="3"/>
  <c r="E57" i="3"/>
  <c r="G10" i="3"/>
  <c r="E10" i="3"/>
  <c r="G42" i="3"/>
  <c r="E42" i="3"/>
  <c r="H42" i="3" s="1"/>
  <c r="G103" i="3"/>
  <c r="E103" i="3"/>
  <c r="H103" i="3" s="1"/>
  <c r="E23" i="3"/>
  <c r="H23" i="3" s="1"/>
  <c r="G23" i="3"/>
  <c r="E55" i="3"/>
  <c r="H55" i="3" s="1"/>
  <c r="G55" i="3"/>
  <c r="G36" i="3"/>
  <c r="E36" i="3"/>
  <c r="H36" i="3" s="1"/>
  <c r="G74" i="3"/>
  <c r="E74" i="3"/>
  <c r="H74" i="3" s="1"/>
  <c r="G75" i="3"/>
  <c r="E75" i="3"/>
  <c r="G86" i="3"/>
  <c r="E86" i="3"/>
  <c r="E76" i="3"/>
  <c r="G76" i="3"/>
  <c r="E89" i="3"/>
  <c r="G89" i="3"/>
  <c r="G77" i="3"/>
  <c r="E77" i="3"/>
  <c r="E145" i="3"/>
  <c r="H145" i="3" s="1"/>
  <c r="G145" i="3"/>
  <c r="G104" i="3"/>
  <c r="E104" i="3"/>
  <c r="H104" i="3" s="1"/>
  <c r="G136" i="3"/>
  <c r="E136" i="3"/>
  <c r="J154" i="2"/>
  <c r="K154" i="2"/>
  <c r="I154" i="2"/>
  <c r="I145" i="3" s="1"/>
  <c r="G154" i="2"/>
  <c r="F154" i="2"/>
  <c r="E154" i="2"/>
  <c r="J149" i="2"/>
  <c r="I149" i="2"/>
  <c r="I140" i="3" s="1"/>
  <c r="G149" i="2"/>
  <c r="F149" i="2"/>
  <c r="E149" i="2"/>
  <c r="K149" i="2"/>
  <c r="J133" i="2"/>
  <c r="F133" i="2"/>
  <c r="E133" i="2"/>
  <c r="K133" i="2"/>
  <c r="I133" i="2"/>
  <c r="I124" i="3" s="1"/>
  <c r="G133" i="2"/>
  <c r="G5" i="3"/>
  <c r="E5" i="3"/>
  <c r="G22" i="3"/>
  <c r="E22" i="3"/>
  <c r="H22" i="3" s="1"/>
  <c r="G83" i="3"/>
  <c r="E83" i="3"/>
  <c r="H83" i="3" s="1"/>
  <c r="G101" i="3"/>
  <c r="E101" i="3"/>
  <c r="G65" i="3"/>
  <c r="E65" i="3"/>
  <c r="G26" i="3"/>
  <c r="E26" i="3"/>
  <c r="H26" i="3" s="1"/>
  <c r="G70" i="3"/>
  <c r="E70" i="3"/>
  <c r="H70" i="3" s="1"/>
  <c r="G106" i="3"/>
  <c r="E106" i="3"/>
  <c r="G129" i="3"/>
  <c r="E129" i="3"/>
  <c r="E120" i="3"/>
  <c r="G120" i="3"/>
  <c r="K148" i="2"/>
  <c r="J148" i="2"/>
  <c r="G148" i="2"/>
  <c r="F148" i="2"/>
  <c r="I148" i="2"/>
  <c r="I139" i="3" s="1"/>
  <c r="E148" i="2"/>
  <c r="D57" i="5"/>
  <c r="D58" i="5"/>
  <c r="G78" i="3"/>
  <c r="E78" i="3"/>
  <c r="H78" i="3" s="1"/>
  <c r="G13" i="3"/>
  <c r="E13" i="3"/>
  <c r="G45" i="3"/>
  <c r="E45" i="3"/>
  <c r="G14" i="3"/>
  <c r="E14" i="3"/>
  <c r="H14" i="3" s="1"/>
  <c r="G46" i="3"/>
  <c r="E46" i="3"/>
  <c r="H46" i="3" s="1"/>
  <c r="G91" i="3"/>
  <c r="E91" i="3"/>
  <c r="E27" i="3"/>
  <c r="H27" i="3" s="1"/>
  <c r="G27" i="3"/>
  <c r="E59" i="3"/>
  <c r="G59" i="3"/>
  <c r="G40" i="3"/>
  <c r="E40" i="3"/>
  <c r="G94" i="3"/>
  <c r="E94" i="3"/>
  <c r="G79" i="3"/>
  <c r="E79" i="3"/>
  <c r="G97" i="3"/>
  <c r="E97" i="3"/>
  <c r="H97" i="3" s="1"/>
  <c r="E80" i="3"/>
  <c r="G80" i="3"/>
  <c r="E99" i="3"/>
  <c r="H99" i="3" s="1"/>
  <c r="G99" i="3"/>
  <c r="G81" i="3"/>
  <c r="E81" i="3"/>
  <c r="G146" i="3"/>
  <c r="E146" i="3"/>
  <c r="H146" i="3" s="1"/>
  <c r="G108" i="3"/>
  <c r="E108" i="3"/>
  <c r="H108" i="3" s="1"/>
  <c r="G140" i="3"/>
  <c r="E140" i="3"/>
  <c r="G144" i="2"/>
  <c r="F144" i="2"/>
  <c r="K144" i="2"/>
  <c r="J144" i="2"/>
  <c r="I144" i="2"/>
  <c r="I135" i="3" s="1"/>
  <c r="E144" i="2"/>
  <c r="F13" i="2"/>
  <c r="I134" i="2"/>
  <c r="I125" i="3" s="1"/>
  <c r="E134" i="2"/>
  <c r="G134" i="2"/>
  <c r="F134" i="2"/>
  <c r="K134" i="2"/>
  <c r="J134" i="2"/>
  <c r="K135" i="2"/>
  <c r="J135" i="2"/>
  <c r="I135" i="2"/>
  <c r="I126" i="3" s="1"/>
  <c r="G135" i="2"/>
  <c r="F135" i="2"/>
  <c r="E135" i="2"/>
  <c r="E146" i="2"/>
  <c r="J146" i="2"/>
  <c r="I146" i="2"/>
  <c r="I137" i="3" s="1"/>
  <c r="K146" i="2"/>
  <c r="G146" i="2"/>
  <c r="F146" i="2"/>
  <c r="K147" i="2"/>
  <c r="I147" i="2"/>
  <c r="I138" i="3" s="1"/>
  <c r="G147" i="2"/>
  <c r="J147" i="2"/>
  <c r="F147" i="2"/>
  <c r="E147" i="2"/>
  <c r="G17" i="3"/>
  <c r="E17" i="3"/>
  <c r="H17" i="3" s="1"/>
  <c r="G54" i="3"/>
  <c r="E54" i="3"/>
  <c r="G137" i="3"/>
  <c r="E137" i="3"/>
  <c r="E121" i="3"/>
  <c r="G121" i="3"/>
  <c r="I142" i="2"/>
  <c r="I133" i="3" s="1"/>
  <c r="E142" i="2"/>
  <c r="K142" i="2"/>
  <c r="J142" i="2"/>
  <c r="G142" i="2"/>
  <c r="F142" i="2"/>
  <c r="D54" i="5"/>
  <c r="G37" i="3"/>
  <c r="E37" i="3"/>
  <c r="E39" i="3"/>
  <c r="G39" i="3"/>
  <c r="E109" i="3"/>
  <c r="G109" i="3"/>
  <c r="D53" i="5"/>
  <c r="G16" i="3"/>
  <c r="E16" i="3"/>
  <c r="H16" i="3" s="1"/>
  <c r="G49" i="3"/>
  <c r="E49" i="3"/>
  <c r="H49" i="3" s="1"/>
  <c r="G82" i="3"/>
  <c r="E82" i="3"/>
  <c r="G18" i="3"/>
  <c r="E18" i="3"/>
  <c r="G50" i="3"/>
  <c r="E50" i="3"/>
  <c r="H50" i="3" s="1"/>
  <c r="G126" i="3"/>
  <c r="E126" i="3"/>
  <c r="H126" i="3" s="1"/>
  <c r="E31" i="3"/>
  <c r="H31" i="3" s="1"/>
  <c r="G31" i="3"/>
  <c r="E63" i="3"/>
  <c r="H63" i="3" s="1"/>
  <c r="G63" i="3"/>
  <c r="G44" i="3"/>
  <c r="E44" i="3"/>
  <c r="H44" i="3" s="1"/>
  <c r="G102" i="3"/>
  <c r="E102" i="3"/>
  <c r="H102" i="3" s="1"/>
  <c r="G85" i="3"/>
  <c r="E85" i="3"/>
  <c r="G107" i="3"/>
  <c r="E107" i="3"/>
  <c r="G87" i="3"/>
  <c r="E87" i="3"/>
  <c r="H87" i="3" s="1"/>
  <c r="E110" i="3"/>
  <c r="G110" i="3"/>
  <c r="G90" i="3"/>
  <c r="E90" i="3"/>
  <c r="E147" i="3"/>
  <c r="H147" i="3" s="1"/>
  <c r="G147" i="3"/>
  <c r="E112" i="3"/>
  <c r="G112" i="3"/>
  <c r="G144" i="3"/>
  <c r="E144" i="3"/>
  <c r="H144" i="3" s="1"/>
  <c r="G136" i="2"/>
  <c r="K136" i="2"/>
  <c r="J136" i="2"/>
  <c r="I136" i="2"/>
  <c r="I127" i="3" s="1"/>
  <c r="F136" i="2"/>
  <c r="E136" i="2"/>
  <c r="I155" i="2"/>
  <c r="I146" i="3" s="1"/>
  <c r="G155" i="2"/>
  <c r="K155" i="2"/>
  <c r="J155" i="2"/>
  <c r="F155" i="2"/>
  <c r="E155" i="2"/>
  <c r="G5" i="5" l="1"/>
  <c r="K132" i="3"/>
  <c r="J132" i="3"/>
  <c r="H110" i="3"/>
  <c r="H37" i="3"/>
  <c r="H80" i="3"/>
  <c r="H89" i="3"/>
  <c r="H52" i="3"/>
  <c r="C51" i="5"/>
  <c r="H134" i="3"/>
  <c r="H32" i="3"/>
  <c r="H38" i="3"/>
  <c r="H33" i="3"/>
  <c r="H35" i="3"/>
  <c r="G148" i="3"/>
  <c r="C14" i="4" s="1"/>
  <c r="H7" i="3"/>
  <c r="K135" i="3"/>
  <c r="J135" i="3"/>
  <c r="J126" i="3"/>
  <c r="K126" i="3"/>
  <c r="H28" i="3"/>
  <c r="C49" i="5"/>
  <c r="K146" i="3"/>
  <c r="J146" i="3"/>
  <c r="H100" i="3"/>
  <c r="C55" i="5"/>
  <c r="J127" i="3"/>
  <c r="K127" i="3"/>
  <c r="H142" i="3"/>
  <c r="H8" i="3"/>
  <c r="J141" i="3"/>
  <c r="K141" i="3"/>
  <c r="H112" i="3"/>
  <c r="C56" i="5"/>
  <c r="H121" i="3"/>
  <c r="H59" i="3"/>
  <c r="H120" i="3"/>
  <c r="H76" i="3"/>
  <c r="C53" i="5"/>
  <c r="K143" i="3"/>
  <c r="J143" i="3"/>
  <c r="K138" i="3"/>
  <c r="J138" i="3"/>
  <c r="H98" i="3"/>
  <c r="H133" i="3"/>
  <c r="H47" i="3"/>
  <c r="C24" i="4"/>
  <c r="C25" i="4" s="1"/>
  <c r="I147" i="3"/>
  <c r="F58" i="5" s="1"/>
  <c r="H124" i="3"/>
  <c r="C57" i="5"/>
  <c r="K144" i="3"/>
  <c r="J144" i="3"/>
  <c r="H136" i="3"/>
  <c r="C58" i="5"/>
  <c r="E148" i="3"/>
  <c r="C12" i="4"/>
  <c r="H4" i="3"/>
  <c r="H107" i="3"/>
  <c r="H18" i="3"/>
  <c r="H137" i="3"/>
  <c r="H81" i="3"/>
  <c r="H79" i="3"/>
  <c r="H45" i="3"/>
  <c r="H129" i="3"/>
  <c r="H65" i="3"/>
  <c r="H5" i="3"/>
  <c r="H86" i="3"/>
  <c r="H10" i="3"/>
  <c r="H51" i="3"/>
  <c r="H111" i="3"/>
  <c r="H118" i="3"/>
  <c r="H69" i="3"/>
  <c r="H67" i="3"/>
  <c r="H15" i="3"/>
  <c r="H39" i="3"/>
  <c r="J145" i="3"/>
  <c r="K145" i="3"/>
  <c r="H88" i="3"/>
  <c r="C54" i="5"/>
  <c r="J139" i="3"/>
  <c r="K139" i="3"/>
  <c r="H40" i="3"/>
  <c r="C50" i="5"/>
  <c r="K131" i="3"/>
  <c r="J131" i="3"/>
  <c r="K147" i="3"/>
  <c r="J147" i="3"/>
  <c r="H90" i="3"/>
  <c r="H85" i="3"/>
  <c r="H82" i="3"/>
  <c r="H109" i="3"/>
  <c r="H54" i="3"/>
  <c r="E13" i="2"/>
  <c r="H140" i="3"/>
  <c r="H94" i="3"/>
  <c r="H91" i="3"/>
  <c r="H13" i="3"/>
  <c r="H106" i="3"/>
  <c r="H101" i="3"/>
  <c r="H77" i="3"/>
  <c r="H75" i="3"/>
  <c r="H57" i="3"/>
  <c r="H19" i="3"/>
  <c r="H58" i="3"/>
  <c r="H48" i="3"/>
  <c r="H128" i="3"/>
  <c r="H60" i="3"/>
  <c r="H66" i="3"/>
  <c r="H29" i="3"/>
  <c r="H125" i="3"/>
  <c r="F57" i="5"/>
  <c r="H95" i="3"/>
  <c r="H64" i="3"/>
  <c r="C52" i="5"/>
  <c r="H93" i="3"/>
  <c r="H61" i="3"/>
  <c r="K130" i="3"/>
  <c r="J130" i="3"/>
  <c r="H122" i="3"/>
  <c r="H117" i="3"/>
  <c r="H113" i="3"/>
  <c r="E50" i="5" l="1"/>
  <c r="K124" i="3"/>
  <c r="J124" i="3"/>
  <c r="E57" i="5"/>
  <c r="J125" i="3"/>
  <c r="K125" i="3"/>
  <c r="K140" i="3"/>
  <c r="J140" i="3"/>
  <c r="J129" i="3"/>
  <c r="K129" i="3"/>
  <c r="E53" i="5"/>
  <c r="G13" i="2"/>
  <c r="I13" i="2"/>
  <c r="H148" i="3"/>
  <c r="C15" i="4"/>
  <c r="J136" i="3"/>
  <c r="K136" i="3"/>
  <c r="E58" i="5"/>
  <c r="E55" i="5"/>
  <c r="E51" i="5"/>
  <c r="K134" i="3"/>
  <c r="J134" i="3"/>
  <c r="E54" i="5"/>
  <c r="E52" i="5"/>
  <c r="J133" i="3"/>
  <c r="K133" i="3"/>
  <c r="K128" i="3"/>
  <c r="J128" i="3"/>
  <c r="J137" i="3"/>
  <c r="K137" i="3"/>
  <c r="E56" i="5"/>
  <c r="K142" i="3"/>
  <c r="J142" i="3"/>
  <c r="E49" i="5"/>
  <c r="G57" i="5" l="1"/>
  <c r="G58" i="5"/>
  <c r="I4" i="3"/>
  <c r="K13" i="2"/>
  <c r="J13" i="2"/>
  <c r="D14" i="2" s="1"/>
  <c r="F14" i="2" l="1"/>
  <c r="E14" i="2"/>
  <c r="I14" i="2"/>
  <c r="J4" i="3"/>
  <c r="K4" i="3"/>
  <c r="I5" i="3" l="1"/>
  <c r="L4" i="3"/>
  <c r="K14" i="2"/>
  <c r="G14" i="2"/>
  <c r="J14" i="2" l="1"/>
  <c r="D15" i="2" s="1"/>
  <c r="K5" i="3"/>
  <c r="J5" i="3"/>
  <c r="F15" i="2" l="1"/>
  <c r="E15" i="2" s="1"/>
  <c r="L5" i="3"/>
  <c r="I15" i="2" l="1"/>
  <c r="G15" i="2"/>
  <c r="J15" i="2" l="1"/>
  <c r="D16" i="2" s="1"/>
  <c r="I6" i="3"/>
  <c r="K15" i="2"/>
  <c r="J6" i="3" l="1"/>
  <c r="K6" i="3"/>
  <c r="E16" i="2"/>
  <c r="I16" i="2" s="1"/>
  <c r="F16" i="2"/>
  <c r="I7" i="3" l="1"/>
  <c r="K16" i="2"/>
  <c r="G16" i="2"/>
  <c r="L6" i="3"/>
  <c r="J16" i="2" l="1"/>
  <c r="D17" i="2" s="1"/>
  <c r="J7" i="3"/>
  <c r="K7" i="3"/>
  <c r="L7" i="3" l="1"/>
  <c r="F17" i="2"/>
  <c r="E17" i="2"/>
  <c r="I17" i="2" s="1"/>
  <c r="I8" i="3" l="1"/>
  <c r="K17" i="2"/>
  <c r="G17" i="2"/>
  <c r="J17" i="2" l="1"/>
  <c r="D18" i="2" s="1"/>
  <c r="J8" i="3"/>
  <c r="K8" i="3"/>
  <c r="L8" i="3" l="1"/>
  <c r="F18" i="2"/>
  <c r="E18" i="2"/>
  <c r="G18" i="2" s="1"/>
  <c r="J18" i="2" s="1"/>
  <c r="D19" i="2" s="1"/>
  <c r="F19" i="2" l="1"/>
  <c r="E19" i="2"/>
  <c r="I19" i="2" s="1"/>
  <c r="I18" i="2"/>
  <c r="I10" i="3" l="1"/>
  <c r="K19" i="2"/>
  <c r="I9" i="3"/>
  <c r="K18" i="2"/>
  <c r="G19" i="2"/>
  <c r="J19" i="2" s="1"/>
  <c r="D20" i="2" s="1"/>
  <c r="F20" i="2" l="1"/>
  <c r="E20" i="2"/>
  <c r="I20" i="2" s="1"/>
  <c r="G20" i="2"/>
  <c r="J20" i="2" s="1"/>
  <c r="D21" i="2" s="1"/>
  <c r="J9" i="3"/>
  <c r="L9" i="3" s="1"/>
  <c r="K9" i="3"/>
  <c r="J10" i="3"/>
  <c r="K10" i="3"/>
  <c r="F21" i="2" l="1"/>
  <c r="E21" i="2" s="1"/>
  <c r="I11" i="3"/>
  <c r="K20" i="2"/>
  <c r="L10" i="3"/>
  <c r="G21" i="2" l="1"/>
  <c r="J21" i="2" s="1"/>
  <c r="D22" i="2" s="1"/>
  <c r="I21" i="2"/>
  <c r="J11" i="3"/>
  <c r="L11" i="3" s="1"/>
  <c r="K11" i="3"/>
  <c r="I12" i="3" l="1"/>
  <c r="K21" i="2"/>
  <c r="F22" i="2"/>
  <c r="E22" i="2"/>
  <c r="G22" i="2" s="1"/>
  <c r="J22" i="2" s="1"/>
  <c r="D23" i="2" s="1"/>
  <c r="F23" i="2" l="1"/>
  <c r="E23" i="2"/>
  <c r="I23" i="2"/>
  <c r="I14" i="3" s="1"/>
  <c r="G23" i="2"/>
  <c r="J23" i="2" s="1"/>
  <c r="D24" i="2" s="1"/>
  <c r="I22" i="2"/>
  <c r="J12" i="3"/>
  <c r="L12" i="3" s="1"/>
  <c r="K12" i="3"/>
  <c r="F24" i="2" l="1"/>
  <c r="E24" i="2" s="1"/>
  <c r="I13" i="3"/>
  <c r="K22" i="2"/>
  <c r="K23" i="2"/>
  <c r="K14" i="3"/>
  <c r="J14" i="3"/>
  <c r="I24" i="2" l="1"/>
  <c r="G24" i="2"/>
  <c r="J24" i="2" s="1"/>
  <c r="D25" i="2" s="1"/>
  <c r="J13" i="3"/>
  <c r="L13" i="3" s="1"/>
  <c r="K13" i="3"/>
  <c r="L14" i="3" l="1"/>
  <c r="G25" i="2"/>
  <c r="J25" i="2" s="1"/>
  <c r="D26" i="2" s="1"/>
  <c r="F25" i="2"/>
  <c r="E25" i="2"/>
  <c r="I25" i="2" s="1"/>
  <c r="I15" i="3"/>
  <c r="K24" i="2"/>
  <c r="I16" i="3" l="1"/>
  <c r="K25" i="2"/>
  <c r="F26" i="2"/>
  <c r="E26" i="2"/>
  <c r="I26" i="2" s="1"/>
  <c r="J15" i="3"/>
  <c r="L15" i="3" s="1"/>
  <c r="H47" i="5" s="1"/>
  <c r="K15" i="3"/>
  <c r="I17" i="3" l="1"/>
  <c r="K26" i="2"/>
  <c r="G26" i="2"/>
  <c r="J26" i="2" s="1"/>
  <c r="D27" i="2" s="1"/>
  <c r="K16" i="3"/>
  <c r="J16" i="3"/>
  <c r="L16" i="3" s="1"/>
  <c r="F27" i="2" l="1"/>
  <c r="E27" i="2"/>
  <c r="G27" i="2" s="1"/>
  <c r="J27" i="2" s="1"/>
  <c r="D28" i="2" s="1"/>
  <c r="J17" i="3"/>
  <c r="L17" i="3" s="1"/>
  <c r="K17" i="3"/>
  <c r="F28" i="2" l="1"/>
  <c r="E28" i="2"/>
  <c r="I28" i="2" s="1"/>
  <c r="I27" i="2"/>
  <c r="I19" i="3" l="1"/>
  <c r="K28" i="2"/>
  <c r="I18" i="3"/>
  <c r="K27" i="2"/>
  <c r="G28" i="2"/>
  <c r="J28" i="2" s="1"/>
  <c r="D29" i="2" s="1"/>
  <c r="F29" i="2" l="1"/>
  <c r="E29" i="2" s="1"/>
  <c r="J18" i="3"/>
  <c r="L18" i="3" s="1"/>
  <c r="K18" i="3"/>
  <c r="J19" i="3"/>
  <c r="K19" i="3"/>
  <c r="G29" i="2" l="1"/>
  <c r="J29" i="2" s="1"/>
  <c r="D30" i="2" s="1"/>
  <c r="I29" i="2"/>
  <c r="L19" i="3"/>
  <c r="I20" i="3" l="1"/>
  <c r="K29" i="2"/>
  <c r="F30" i="2"/>
  <c r="E30" i="2"/>
  <c r="G30" i="2" s="1"/>
  <c r="J30" i="2" s="1"/>
  <c r="D31" i="2" s="1"/>
  <c r="F31" i="2" l="1"/>
  <c r="E31" i="2"/>
  <c r="I31" i="2"/>
  <c r="I22" i="3" s="1"/>
  <c r="G31" i="2"/>
  <c r="J31" i="2" s="1"/>
  <c r="D32" i="2" s="1"/>
  <c r="I30" i="2"/>
  <c r="K20" i="3"/>
  <c r="J20" i="3"/>
  <c r="L20" i="3" s="1"/>
  <c r="F32" i="2" l="1"/>
  <c r="E32" i="2" s="1"/>
  <c r="K22" i="3"/>
  <c r="J22" i="3"/>
  <c r="I21" i="3"/>
  <c r="K30" i="2"/>
  <c r="K31" i="2"/>
  <c r="I32" i="2" l="1"/>
  <c r="G32" i="2"/>
  <c r="J32" i="2" s="1"/>
  <c r="D33" i="2" s="1"/>
  <c r="K21" i="3"/>
  <c r="J21" i="3"/>
  <c r="L21" i="3" s="1"/>
  <c r="L22" i="3" l="1"/>
  <c r="F33" i="2"/>
  <c r="E33" i="2" s="1"/>
  <c r="I23" i="3"/>
  <c r="K32" i="2"/>
  <c r="I33" i="2" l="1"/>
  <c r="G33" i="2"/>
  <c r="J33" i="2" s="1"/>
  <c r="D34" i="2" s="1"/>
  <c r="J23" i="3"/>
  <c r="L23" i="3" s="1"/>
  <c r="K23" i="3"/>
  <c r="F34" i="2" l="1"/>
  <c r="E34" i="2"/>
  <c r="G34" i="2" s="1"/>
  <c r="J34" i="2" s="1"/>
  <c r="D35" i="2" s="1"/>
  <c r="I24" i="3"/>
  <c r="K33" i="2"/>
  <c r="F35" i="2" l="1"/>
  <c r="E35" i="2" s="1"/>
  <c r="J24" i="3"/>
  <c r="L24" i="3" s="1"/>
  <c r="K24" i="3"/>
  <c r="I34" i="2"/>
  <c r="I35" i="2" l="1"/>
  <c r="G35" i="2"/>
  <c r="J35" i="2" s="1"/>
  <c r="D36" i="2" s="1"/>
  <c r="I25" i="3"/>
  <c r="K34" i="2"/>
  <c r="J25" i="3" l="1"/>
  <c r="L25" i="3" s="1"/>
  <c r="K25" i="3"/>
  <c r="F36" i="2"/>
  <c r="E36" i="2"/>
  <c r="I36" i="2" s="1"/>
  <c r="G36" i="2"/>
  <c r="J36" i="2" s="1"/>
  <c r="D37" i="2" s="1"/>
  <c r="I26" i="3"/>
  <c r="K35" i="2"/>
  <c r="F37" i="2" l="1"/>
  <c r="E37" i="2" s="1"/>
  <c r="I27" i="3"/>
  <c r="K36" i="2"/>
  <c r="J26" i="3"/>
  <c r="L26" i="3" s="1"/>
  <c r="K26" i="3"/>
  <c r="I37" i="2" l="1"/>
  <c r="G37" i="2"/>
  <c r="J37" i="2" s="1"/>
  <c r="D38" i="2" s="1"/>
  <c r="J27" i="3"/>
  <c r="L27" i="3" s="1"/>
  <c r="H48" i="5" s="1"/>
  <c r="K27" i="3"/>
  <c r="F38" i="2" l="1"/>
  <c r="E38" i="2"/>
  <c r="G38" i="2" s="1"/>
  <c r="J38" i="2" s="1"/>
  <c r="D39" i="2" s="1"/>
  <c r="I28" i="3"/>
  <c r="K37" i="2"/>
  <c r="F39" i="2" l="1"/>
  <c r="E39" i="2"/>
  <c r="I39" i="2"/>
  <c r="I30" i="3" s="1"/>
  <c r="G39" i="2"/>
  <c r="J39" i="2" s="1"/>
  <c r="D40" i="2" s="1"/>
  <c r="J28" i="3"/>
  <c r="K28" i="3"/>
  <c r="I38" i="2"/>
  <c r="F40" i="2" l="1"/>
  <c r="E40" i="2" s="1"/>
  <c r="J30" i="3"/>
  <c r="K30" i="3"/>
  <c r="L28" i="3"/>
  <c r="I29" i="3"/>
  <c r="K38" i="2"/>
  <c r="K39" i="2"/>
  <c r="I40" i="2" l="1"/>
  <c r="G40" i="2"/>
  <c r="J40" i="2" s="1"/>
  <c r="D41" i="2" s="1"/>
  <c r="J29" i="3"/>
  <c r="K29" i="3"/>
  <c r="L30" i="3"/>
  <c r="L29" i="3" l="1"/>
  <c r="F41" i="2"/>
  <c r="E41" i="2"/>
  <c r="I41" i="2" s="1"/>
  <c r="I31" i="3"/>
  <c r="K40" i="2"/>
  <c r="I32" i="3" l="1"/>
  <c r="K41" i="2"/>
  <c r="G41" i="2"/>
  <c r="J41" i="2" s="1"/>
  <c r="D42" i="2" s="1"/>
  <c r="K31" i="3"/>
  <c r="J31" i="3"/>
  <c r="L31" i="3" l="1"/>
  <c r="F42" i="2"/>
  <c r="I42" i="2"/>
  <c r="I33" i="3" s="1"/>
  <c r="E42" i="2"/>
  <c r="G42" i="2" s="1"/>
  <c r="J42" i="2" s="1"/>
  <c r="D43" i="2" s="1"/>
  <c r="K32" i="3"/>
  <c r="J32" i="3"/>
  <c r="L32" i="3" s="1"/>
  <c r="F43" i="2" l="1"/>
  <c r="E43" i="2" s="1"/>
  <c r="K42" i="2"/>
  <c r="K33" i="3"/>
  <c r="J33" i="3"/>
  <c r="I43" i="2" l="1"/>
  <c r="G43" i="2"/>
  <c r="J43" i="2" s="1"/>
  <c r="D44" i="2" s="1"/>
  <c r="L33" i="3"/>
  <c r="F44" i="2" l="1"/>
  <c r="E44" i="2"/>
  <c r="I44" i="2" s="1"/>
  <c r="J44" i="2"/>
  <c r="D45" i="2" s="1"/>
  <c r="G44" i="2"/>
  <c r="I34" i="3"/>
  <c r="K43" i="2"/>
  <c r="I35" i="3" l="1"/>
  <c r="K44" i="2"/>
  <c r="F45" i="2"/>
  <c r="E45" i="2" s="1"/>
  <c r="J34" i="3"/>
  <c r="K34" i="3"/>
  <c r="G45" i="2" l="1"/>
  <c r="J45" i="2" s="1"/>
  <c r="D46" i="2" s="1"/>
  <c r="I45" i="2"/>
  <c r="L34" i="3"/>
  <c r="K35" i="3"/>
  <c r="J35" i="3"/>
  <c r="L35" i="3" s="1"/>
  <c r="I36" i="3" l="1"/>
  <c r="K45" i="2"/>
  <c r="F46" i="2"/>
  <c r="E46" i="2"/>
  <c r="G46" i="2" s="1"/>
  <c r="J46" i="2" s="1"/>
  <c r="D47" i="2" s="1"/>
  <c r="F47" i="2" l="1"/>
  <c r="E47" i="2"/>
  <c r="I47" i="2"/>
  <c r="I38" i="3" s="1"/>
  <c r="G47" i="2"/>
  <c r="J47" i="2" s="1"/>
  <c r="D48" i="2" s="1"/>
  <c r="I46" i="2"/>
  <c r="K36" i="3"/>
  <c r="J36" i="3"/>
  <c r="L36" i="3" s="1"/>
  <c r="F48" i="2" l="1"/>
  <c r="E48" i="2" s="1"/>
  <c r="K38" i="3"/>
  <c r="J38" i="3"/>
  <c r="K47" i="2"/>
  <c r="I37" i="3"/>
  <c r="K46" i="2"/>
  <c r="I48" i="2" l="1"/>
  <c r="G48" i="2"/>
  <c r="J48" i="2" s="1"/>
  <c r="D49" i="2" s="1"/>
  <c r="J37" i="3"/>
  <c r="L37" i="3" s="1"/>
  <c r="K37" i="3"/>
  <c r="L38" i="3" l="1"/>
  <c r="F49" i="2"/>
  <c r="E49" i="2"/>
  <c r="I49" i="2" s="1"/>
  <c r="I39" i="3"/>
  <c r="K48" i="2"/>
  <c r="I40" i="3" l="1"/>
  <c r="K49" i="2"/>
  <c r="G49" i="2"/>
  <c r="J49" i="2" s="1"/>
  <c r="D50" i="2" s="1"/>
  <c r="K39" i="3"/>
  <c r="J39" i="3"/>
  <c r="F49" i="5"/>
  <c r="L39" i="3" l="1"/>
  <c r="H49" i="5" s="1"/>
  <c r="G49" i="5"/>
  <c r="F50" i="2"/>
  <c r="E50" i="2"/>
  <c r="G50" i="2" s="1"/>
  <c r="J50" i="2" s="1"/>
  <c r="D51" i="2" s="1"/>
  <c r="K40" i="3"/>
  <c r="J40" i="3"/>
  <c r="F51" i="2" l="1"/>
  <c r="E51" i="2"/>
  <c r="G51" i="2" s="1"/>
  <c r="J51" i="2" s="1"/>
  <c r="D52" i="2" s="1"/>
  <c r="I50" i="2"/>
  <c r="L40" i="3"/>
  <c r="F52" i="2" l="1"/>
  <c r="E52" i="2"/>
  <c r="I52" i="2" s="1"/>
  <c r="G52" i="2"/>
  <c r="J52" i="2" s="1"/>
  <c r="D53" i="2" s="1"/>
  <c r="I51" i="2"/>
  <c r="I41" i="3"/>
  <c r="K50" i="2"/>
  <c r="F53" i="2" l="1"/>
  <c r="E53" i="2" s="1"/>
  <c r="I43" i="3"/>
  <c r="K52" i="2"/>
  <c r="I42" i="3"/>
  <c r="K51" i="2"/>
  <c r="K41" i="3"/>
  <c r="J41" i="3"/>
  <c r="G53" i="2" l="1"/>
  <c r="J53" i="2" s="1"/>
  <c r="D54" i="2" s="1"/>
  <c r="I53" i="2"/>
  <c r="K43" i="3"/>
  <c r="J43" i="3"/>
  <c r="L41" i="3"/>
  <c r="J42" i="3"/>
  <c r="L42" i="3" s="1"/>
  <c r="K42" i="3"/>
  <c r="L43" i="3" l="1"/>
  <c r="I44" i="3"/>
  <c r="K53" i="2"/>
  <c r="F54" i="2"/>
  <c r="E54" i="2" s="1"/>
  <c r="I54" i="2" l="1"/>
  <c r="G54" i="2"/>
  <c r="J54" i="2" s="1"/>
  <c r="D55" i="2" s="1"/>
  <c r="J44" i="3"/>
  <c r="K44" i="3"/>
  <c r="F55" i="2" l="1"/>
  <c r="E55" i="2"/>
  <c r="I55" i="2"/>
  <c r="I46" i="3" s="1"/>
  <c r="G55" i="2"/>
  <c r="J55" i="2" s="1"/>
  <c r="D56" i="2" s="1"/>
  <c r="L44" i="3"/>
  <c r="I45" i="3"/>
  <c r="K54" i="2"/>
  <c r="F56" i="2" l="1"/>
  <c r="E56" i="2" s="1"/>
  <c r="K55" i="2"/>
  <c r="K46" i="3"/>
  <c r="J46" i="3"/>
  <c r="J45" i="3"/>
  <c r="K45" i="3"/>
  <c r="G56" i="2" l="1"/>
  <c r="J56" i="2" s="1"/>
  <c r="D57" i="2" s="1"/>
  <c r="I56" i="2"/>
  <c r="L45" i="3"/>
  <c r="L46" i="3"/>
  <c r="I47" i="3" l="1"/>
  <c r="K56" i="2"/>
  <c r="F57" i="2"/>
  <c r="E57" i="2"/>
  <c r="I57" i="2" s="1"/>
  <c r="I48" i="3" l="1"/>
  <c r="K57" i="2"/>
  <c r="G57" i="2"/>
  <c r="J57" i="2" s="1"/>
  <c r="D58" i="2" s="1"/>
  <c r="K47" i="3"/>
  <c r="J47" i="3"/>
  <c r="L47" i="3" l="1"/>
  <c r="F58" i="2"/>
  <c r="E58" i="2"/>
  <c r="I58" i="2" s="1"/>
  <c r="K48" i="3"/>
  <c r="J48" i="3"/>
  <c r="L48" i="3" s="1"/>
  <c r="I49" i="3" l="1"/>
  <c r="K58" i="2"/>
  <c r="G58" i="2"/>
  <c r="J58" i="2" s="1"/>
  <c r="D59" i="2" s="1"/>
  <c r="F59" i="2" l="1"/>
  <c r="E59" i="2"/>
  <c r="I59" i="2" s="1"/>
  <c r="K49" i="3"/>
  <c r="J49" i="3"/>
  <c r="L49" i="3" s="1"/>
  <c r="I50" i="3" l="1"/>
  <c r="K59" i="2"/>
  <c r="G59" i="2"/>
  <c r="J59" i="2" s="1"/>
  <c r="D60" i="2" s="1"/>
  <c r="F60" i="2" l="1"/>
  <c r="E60" i="2"/>
  <c r="I60" i="2" s="1"/>
  <c r="G60" i="2"/>
  <c r="J60" i="2" s="1"/>
  <c r="D61" i="2" s="1"/>
  <c r="K50" i="3"/>
  <c r="J50" i="3"/>
  <c r="L50" i="3" s="1"/>
  <c r="F61" i="2" l="1"/>
  <c r="E61" i="2" s="1"/>
  <c r="I51" i="3"/>
  <c r="K60" i="2"/>
  <c r="G61" i="2" l="1"/>
  <c r="J61" i="2" s="1"/>
  <c r="D62" i="2" s="1"/>
  <c r="I61" i="2"/>
  <c r="K51" i="3"/>
  <c r="J51" i="3"/>
  <c r="F50" i="5"/>
  <c r="L51" i="3" l="1"/>
  <c r="H50" i="5" s="1"/>
  <c r="G50" i="5"/>
  <c r="I52" i="3"/>
  <c r="K61" i="2"/>
  <c r="F62" i="2"/>
  <c r="E62" i="2"/>
  <c r="I62" i="2" s="1"/>
  <c r="I53" i="3" l="1"/>
  <c r="K62" i="2"/>
  <c r="G62" i="2"/>
  <c r="J62" i="2" s="1"/>
  <c r="D63" i="2" s="1"/>
  <c r="K52" i="3"/>
  <c r="J52" i="3"/>
  <c r="L52" i="3" l="1"/>
  <c r="F63" i="2"/>
  <c r="E63" i="2"/>
  <c r="I63" i="2" s="1"/>
  <c r="J53" i="3"/>
  <c r="L53" i="3" s="1"/>
  <c r="K53" i="3"/>
  <c r="I54" i="3" l="1"/>
  <c r="K63" i="2"/>
  <c r="G63" i="2"/>
  <c r="J63" i="2" s="1"/>
  <c r="D64" i="2" s="1"/>
  <c r="F64" i="2" l="1"/>
  <c r="E64" i="2" s="1"/>
  <c r="K54" i="3"/>
  <c r="J54" i="3"/>
  <c r="I64" i="2" l="1"/>
  <c r="G64" i="2"/>
  <c r="J64" i="2" s="1"/>
  <c r="D65" i="2" s="1"/>
  <c r="L54" i="3"/>
  <c r="F65" i="2" l="1"/>
  <c r="E65" i="2"/>
  <c r="I65" i="2" s="1"/>
  <c r="I55" i="3"/>
  <c r="K64" i="2"/>
  <c r="I56" i="3" l="1"/>
  <c r="K65" i="2"/>
  <c r="G65" i="2"/>
  <c r="J65" i="2" s="1"/>
  <c r="D66" i="2" s="1"/>
  <c r="K55" i="3"/>
  <c r="J55" i="3"/>
  <c r="L55" i="3" l="1"/>
  <c r="F66" i="2"/>
  <c r="E66" i="2"/>
  <c r="I66" i="2" s="1"/>
  <c r="K56" i="3"/>
  <c r="J56" i="3"/>
  <c r="L56" i="3" s="1"/>
  <c r="I57" i="3" l="1"/>
  <c r="K66" i="2"/>
  <c r="G66" i="2"/>
  <c r="J66" i="2" s="1"/>
  <c r="D67" i="2" s="1"/>
  <c r="F67" i="2" l="1"/>
  <c r="E67" i="2"/>
  <c r="I67" i="2" s="1"/>
  <c r="J57" i="3"/>
  <c r="K57" i="3"/>
  <c r="I58" i="3" l="1"/>
  <c r="K67" i="2"/>
  <c r="G67" i="2"/>
  <c r="J67" i="2" s="1"/>
  <c r="D68" i="2" s="1"/>
  <c r="L57" i="3"/>
  <c r="F68" i="2" l="1"/>
  <c r="E68" i="2"/>
  <c r="I68" i="2" s="1"/>
  <c r="K58" i="3"/>
  <c r="J58" i="3"/>
  <c r="L58" i="3" s="1"/>
  <c r="I59" i="3" l="1"/>
  <c r="K68" i="2"/>
  <c r="G68" i="2"/>
  <c r="J68" i="2" s="1"/>
  <c r="D69" i="2" s="1"/>
  <c r="F69" i="2" l="1"/>
  <c r="E69" i="2" s="1"/>
  <c r="J59" i="3"/>
  <c r="L59" i="3" s="1"/>
  <c r="K59" i="3"/>
  <c r="G69" i="2" l="1"/>
  <c r="J69" i="2" s="1"/>
  <c r="D70" i="2" s="1"/>
  <c r="I69" i="2"/>
  <c r="I60" i="3" l="1"/>
  <c r="K69" i="2"/>
  <c r="F70" i="2"/>
  <c r="E70" i="2"/>
  <c r="G70" i="2" s="1"/>
  <c r="J70" i="2" s="1"/>
  <c r="D71" i="2" s="1"/>
  <c r="F71" i="2" l="1"/>
  <c r="E71" i="2"/>
  <c r="I71" i="2"/>
  <c r="I62" i="3" s="1"/>
  <c r="G71" i="2"/>
  <c r="J71" i="2" s="1"/>
  <c r="D72" i="2" s="1"/>
  <c r="I70" i="2"/>
  <c r="J60" i="3"/>
  <c r="L60" i="3" s="1"/>
  <c r="K60" i="3"/>
  <c r="F72" i="2" l="1"/>
  <c r="E72" i="2" s="1"/>
  <c r="K62" i="3"/>
  <c r="J62" i="3"/>
  <c r="I61" i="3"/>
  <c r="K70" i="2"/>
  <c r="K71" i="2"/>
  <c r="I72" i="2" l="1"/>
  <c r="G72" i="2"/>
  <c r="J72" i="2" s="1"/>
  <c r="D73" i="2" s="1"/>
  <c r="K61" i="3"/>
  <c r="J61" i="3"/>
  <c r="L61" i="3" s="1"/>
  <c r="L62" i="3" l="1"/>
  <c r="F73" i="2"/>
  <c r="E73" i="2"/>
  <c r="I73" i="2" s="1"/>
  <c r="I63" i="3"/>
  <c r="K72" i="2"/>
  <c r="I64" i="3" l="1"/>
  <c r="K73" i="2"/>
  <c r="J63" i="3"/>
  <c r="K63" i="3"/>
  <c r="F51" i="5"/>
  <c r="G73" i="2"/>
  <c r="J73" i="2" s="1"/>
  <c r="D74" i="2" s="1"/>
  <c r="F74" i="2" l="1"/>
  <c r="E74" i="2"/>
  <c r="G74" i="2" s="1"/>
  <c r="J74" i="2" s="1"/>
  <c r="D75" i="2" s="1"/>
  <c r="I74" i="2"/>
  <c r="I65" i="3" s="1"/>
  <c r="L63" i="3"/>
  <c r="H51" i="5" s="1"/>
  <c r="G51" i="5"/>
  <c r="K64" i="3"/>
  <c r="J64" i="3"/>
  <c r="F75" i="2" l="1"/>
  <c r="E75" i="2"/>
  <c r="I75" i="2" s="1"/>
  <c r="L64" i="3"/>
  <c r="J65" i="3"/>
  <c r="L65" i="3" s="1"/>
  <c r="K65" i="3"/>
  <c r="K74" i="2"/>
  <c r="I66" i="3" l="1"/>
  <c r="K75" i="2"/>
  <c r="G75" i="2"/>
  <c r="J75" i="2" s="1"/>
  <c r="D76" i="2" s="1"/>
  <c r="F76" i="2" l="1"/>
  <c r="E76" i="2"/>
  <c r="I76" i="2" s="1"/>
  <c r="K66" i="3"/>
  <c r="J66" i="3"/>
  <c r="I67" i="3" l="1"/>
  <c r="K76" i="2"/>
  <c r="L66" i="3"/>
  <c r="G76" i="2"/>
  <c r="J76" i="2" s="1"/>
  <c r="D77" i="2" s="1"/>
  <c r="F77" i="2" l="1"/>
  <c r="E77" i="2" s="1"/>
  <c r="J67" i="3"/>
  <c r="K67" i="3"/>
  <c r="G77" i="2" l="1"/>
  <c r="J77" i="2" s="1"/>
  <c r="D78" i="2" s="1"/>
  <c r="I77" i="2"/>
  <c r="L67" i="3"/>
  <c r="I68" i="3" l="1"/>
  <c r="K77" i="2"/>
  <c r="F78" i="2"/>
  <c r="E78" i="2"/>
  <c r="G78" i="2" s="1"/>
  <c r="J78" i="2" s="1"/>
  <c r="D79" i="2" s="1"/>
  <c r="F79" i="2" l="1"/>
  <c r="E79" i="2"/>
  <c r="I79" i="2"/>
  <c r="I70" i="3" s="1"/>
  <c r="G79" i="2"/>
  <c r="J79" i="2" s="1"/>
  <c r="D80" i="2" s="1"/>
  <c r="I78" i="2"/>
  <c r="K68" i="3"/>
  <c r="J68" i="3"/>
  <c r="F80" i="2" l="1"/>
  <c r="E80" i="2" s="1"/>
  <c r="J70" i="3"/>
  <c r="K70" i="3"/>
  <c r="I69" i="3"/>
  <c r="K78" i="2"/>
  <c r="K79" i="2"/>
  <c r="L68" i="3"/>
  <c r="G80" i="2" l="1"/>
  <c r="J80" i="2" s="1"/>
  <c r="D81" i="2" s="1"/>
  <c r="I80" i="2"/>
  <c r="L70" i="3"/>
  <c r="J69" i="3"/>
  <c r="K69" i="3"/>
  <c r="L69" i="3" l="1"/>
  <c r="I71" i="3"/>
  <c r="K80" i="2"/>
  <c r="F81" i="2"/>
  <c r="E81" i="2" s="1"/>
  <c r="I81" i="2" l="1"/>
  <c r="G81" i="2"/>
  <c r="J81" i="2" s="1"/>
  <c r="D82" i="2" s="1"/>
  <c r="K71" i="3"/>
  <c r="J71" i="3"/>
  <c r="L71" i="3" s="1"/>
  <c r="F82" i="2" l="1"/>
  <c r="E82" i="2"/>
  <c r="G82" i="2" s="1"/>
  <c r="J82" i="2" s="1"/>
  <c r="D83" i="2" s="1"/>
  <c r="I82" i="2"/>
  <c r="I73" i="3" s="1"/>
  <c r="I72" i="3"/>
  <c r="K81" i="2"/>
  <c r="F83" i="2" l="1"/>
  <c r="E83" i="2" s="1"/>
  <c r="J72" i="3"/>
  <c r="L72" i="3" s="1"/>
  <c r="K72" i="3"/>
  <c r="J73" i="3"/>
  <c r="K73" i="3"/>
  <c r="K82" i="2"/>
  <c r="G83" i="2" l="1"/>
  <c r="J83" i="2" s="1"/>
  <c r="D84" i="2" s="1"/>
  <c r="I83" i="2"/>
  <c r="L73" i="3"/>
  <c r="I74" i="3" l="1"/>
  <c r="K83" i="2"/>
  <c r="F84" i="2"/>
  <c r="E84" i="2"/>
  <c r="I84" i="2" s="1"/>
  <c r="G84" i="2"/>
  <c r="J84" i="2" s="1"/>
  <c r="D85" i="2" s="1"/>
  <c r="F85" i="2" l="1"/>
  <c r="E85" i="2" s="1"/>
  <c r="I75" i="3"/>
  <c r="K84" i="2"/>
  <c r="J74" i="3"/>
  <c r="L74" i="3" s="1"/>
  <c r="K74" i="3"/>
  <c r="G85" i="2" l="1"/>
  <c r="J85" i="2" s="1"/>
  <c r="D86" i="2" s="1"/>
  <c r="I85" i="2"/>
  <c r="J75" i="3"/>
  <c r="K75" i="3"/>
  <c r="F52" i="5"/>
  <c r="L75" i="3" l="1"/>
  <c r="H52" i="5" s="1"/>
  <c r="G52" i="5"/>
  <c r="I76" i="3"/>
  <c r="K85" i="2"/>
  <c r="F86" i="2"/>
  <c r="E86" i="2" s="1"/>
  <c r="I86" i="2" l="1"/>
  <c r="G86" i="2"/>
  <c r="J86" i="2" s="1"/>
  <c r="D87" i="2" s="1"/>
  <c r="K76" i="3"/>
  <c r="J76" i="3"/>
  <c r="F87" i="2" l="1"/>
  <c r="E87" i="2"/>
  <c r="I87" i="2"/>
  <c r="I78" i="3" s="1"/>
  <c r="G87" i="2"/>
  <c r="J87" i="2" s="1"/>
  <c r="D88" i="2" s="1"/>
  <c r="L76" i="3"/>
  <c r="I77" i="3"/>
  <c r="K86" i="2"/>
  <c r="F88" i="2" l="1"/>
  <c r="E88" i="2" s="1"/>
  <c r="K87" i="2"/>
  <c r="J78" i="3"/>
  <c r="L78" i="3" s="1"/>
  <c r="K78" i="3"/>
  <c r="K77" i="3"/>
  <c r="J77" i="3"/>
  <c r="G88" i="2" l="1"/>
  <c r="J88" i="2" s="1"/>
  <c r="D89" i="2" s="1"/>
  <c r="I88" i="2"/>
  <c r="L77" i="3"/>
  <c r="I79" i="3" l="1"/>
  <c r="K88" i="2"/>
  <c r="F89" i="2"/>
  <c r="E89" i="2"/>
  <c r="G89" i="2" s="1"/>
  <c r="J89" i="2" s="1"/>
  <c r="D90" i="2" s="1"/>
  <c r="F90" i="2" l="1"/>
  <c r="E90" i="2" s="1"/>
  <c r="I89" i="2"/>
  <c r="K79" i="3"/>
  <c r="J79" i="3"/>
  <c r="I90" i="2" l="1"/>
  <c r="G90" i="2"/>
  <c r="J90" i="2" s="1"/>
  <c r="D91" i="2" s="1"/>
  <c r="I80" i="3"/>
  <c r="K89" i="2"/>
  <c r="L79" i="3"/>
  <c r="J80" i="3" l="1"/>
  <c r="K80" i="3"/>
  <c r="F91" i="2"/>
  <c r="E91" i="2" s="1"/>
  <c r="I81" i="3"/>
  <c r="K90" i="2"/>
  <c r="I91" i="2" l="1"/>
  <c r="G91" i="2"/>
  <c r="J91" i="2" s="1"/>
  <c r="D92" i="2" s="1"/>
  <c r="J81" i="3"/>
  <c r="L81" i="3" s="1"/>
  <c r="K81" i="3"/>
  <c r="L80" i="3"/>
  <c r="F92" i="2" l="1"/>
  <c r="E92" i="2"/>
  <c r="I92" i="2" s="1"/>
  <c r="I82" i="3"/>
  <c r="K91" i="2"/>
  <c r="I83" i="3" l="1"/>
  <c r="K92" i="2"/>
  <c r="G92" i="2"/>
  <c r="J92" i="2" s="1"/>
  <c r="D93" i="2" s="1"/>
  <c r="K82" i="3"/>
  <c r="J82" i="3"/>
  <c r="L82" i="3" l="1"/>
  <c r="F93" i="2"/>
  <c r="E93" i="2"/>
  <c r="G93" i="2" s="1"/>
  <c r="J93" i="2" s="1"/>
  <c r="D94" i="2" s="1"/>
  <c r="I93" i="2"/>
  <c r="I84" i="3" s="1"/>
  <c r="J83" i="3"/>
  <c r="L83" i="3" s="1"/>
  <c r="K83" i="3"/>
  <c r="F94" i="2" l="1"/>
  <c r="E94" i="2"/>
  <c r="G94" i="2" s="1"/>
  <c r="J94" i="2" s="1"/>
  <c r="D95" i="2" s="1"/>
  <c r="I94" i="2"/>
  <c r="I85" i="3" s="1"/>
  <c r="K93" i="2"/>
  <c r="K84" i="3"/>
  <c r="J84" i="3"/>
  <c r="L84" i="3" s="1"/>
  <c r="F95" i="2" l="1"/>
  <c r="E95" i="2"/>
  <c r="K95" i="2"/>
  <c r="I95" i="2"/>
  <c r="I86" i="3" s="1"/>
  <c r="G95" i="2"/>
  <c r="J95" i="2" s="1"/>
  <c r="D96" i="2" s="1"/>
  <c r="J85" i="3"/>
  <c r="L85" i="3" s="1"/>
  <c r="K85" i="3"/>
  <c r="K94" i="2"/>
  <c r="F96" i="2" l="1"/>
  <c r="E96" i="2" s="1"/>
  <c r="J86" i="3"/>
  <c r="L86" i="3" s="1"/>
  <c r="K86" i="3"/>
  <c r="I96" i="2" l="1"/>
  <c r="G96" i="2"/>
  <c r="J96" i="2" s="1"/>
  <c r="D97" i="2" s="1"/>
  <c r="F97" i="2" l="1"/>
  <c r="E97" i="2" s="1"/>
  <c r="I87" i="3"/>
  <c r="K96" i="2"/>
  <c r="I97" i="2" l="1"/>
  <c r="G97" i="2"/>
  <c r="J97" i="2" s="1"/>
  <c r="D98" i="2" s="1"/>
  <c r="K87" i="3"/>
  <c r="J87" i="3"/>
  <c r="F53" i="5"/>
  <c r="L87" i="3" l="1"/>
  <c r="H53" i="5" s="1"/>
  <c r="G53" i="5"/>
  <c r="F98" i="2"/>
  <c r="E98" i="2"/>
  <c r="I98" i="2" s="1"/>
  <c r="I88" i="3"/>
  <c r="K97" i="2"/>
  <c r="I89" i="3" l="1"/>
  <c r="K98" i="2"/>
  <c r="K88" i="3"/>
  <c r="J88" i="3"/>
  <c r="G98" i="2"/>
  <c r="J98" i="2" s="1"/>
  <c r="D99" i="2" s="1"/>
  <c r="F99" i="2" l="1"/>
  <c r="E99" i="2"/>
  <c r="I99" i="2" s="1"/>
  <c r="L88" i="3"/>
  <c r="J89" i="3"/>
  <c r="L89" i="3" s="1"/>
  <c r="K89" i="3"/>
  <c r="I90" i="3" l="1"/>
  <c r="K99" i="2"/>
  <c r="G99" i="2"/>
  <c r="J99" i="2" s="1"/>
  <c r="D100" i="2" s="1"/>
  <c r="F100" i="2" l="1"/>
  <c r="E100" i="2"/>
  <c r="I100" i="2" s="1"/>
  <c r="K90" i="3"/>
  <c r="J90" i="3"/>
  <c r="I91" i="3" l="1"/>
  <c r="K100" i="2"/>
  <c r="L90" i="3"/>
  <c r="G100" i="2"/>
  <c r="J100" i="2" s="1"/>
  <c r="D101" i="2" s="1"/>
  <c r="F101" i="2" l="1"/>
  <c r="E101" i="2" s="1"/>
  <c r="J91" i="3"/>
  <c r="K91" i="3"/>
  <c r="G101" i="2" l="1"/>
  <c r="J101" i="2" s="1"/>
  <c r="D102" i="2" s="1"/>
  <c r="I101" i="2"/>
  <c r="L91" i="3"/>
  <c r="I92" i="3" l="1"/>
  <c r="K101" i="2"/>
  <c r="F102" i="2"/>
  <c r="E102" i="2" s="1"/>
  <c r="I102" i="2" l="1"/>
  <c r="G102" i="2"/>
  <c r="J102" i="2" s="1"/>
  <c r="D103" i="2" s="1"/>
  <c r="K92" i="3"/>
  <c r="J92" i="3"/>
  <c r="L92" i="3" l="1"/>
  <c r="F103" i="2"/>
  <c r="E103" i="2"/>
  <c r="I103" i="2" s="1"/>
  <c r="I93" i="3"/>
  <c r="K102" i="2"/>
  <c r="I94" i="3" l="1"/>
  <c r="K103" i="2"/>
  <c r="G103" i="2"/>
  <c r="J103" i="2" s="1"/>
  <c r="D104" i="2" s="1"/>
  <c r="K93" i="3"/>
  <c r="J93" i="3"/>
  <c r="L93" i="3" l="1"/>
  <c r="F104" i="2"/>
  <c r="E104" i="2"/>
  <c r="I104" i="2" s="1"/>
  <c r="J94" i="3"/>
  <c r="L94" i="3" s="1"/>
  <c r="K94" i="3"/>
  <c r="I95" i="3" l="1"/>
  <c r="K104" i="2"/>
  <c r="G104" i="2"/>
  <c r="J104" i="2" s="1"/>
  <c r="D105" i="2" s="1"/>
  <c r="F105" i="2" l="1"/>
  <c r="E105" i="2"/>
  <c r="I105" i="2" s="1"/>
  <c r="K95" i="3"/>
  <c r="J95" i="3"/>
  <c r="L95" i="3" s="1"/>
  <c r="I96" i="3" l="1"/>
  <c r="K105" i="2"/>
  <c r="G105" i="2"/>
  <c r="J105" i="2" s="1"/>
  <c r="D106" i="2" s="1"/>
  <c r="F106" i="2" l="1"/>
  <c r="E106" i="2" s="1"/>
  <c r="K96" i="3"/>
  <c r="J96" i="3"/>
  <c r="L96" i="3" s="1"/>
  <c r="I106" i="2" l="1"/>
  <c r="G106" i="2"/>
  <c r="J106" i="2" s="1"/>
  <c r="D107" i="2" s="1"/>
  <c r="F107" i="2" l="1"/>
  <c r="E107" i="2"/>
  <c r="I107" i="2"/>
  <c r="I98" i="3" s="1"/>
  <c r="G107" i="2"/>
  <c r="J107" i="2" s="1"/>
  <c r="D108" i="2" s="1"/>
  <c r="I97" i="3"/>
  <c r="K106" i="2"/>
  <c r="F108" i="2" l="1"/>
  <c r="E108" i="2" s="1"/>
  <c r="J97" i="3"/>
  <c r="L97" i="3" s="1"/>
  <c r="K97" i="3"/>
  <c r="J98" i="3"/>
  <c r="K98" i="3"/>
  <c r="K107" i="2"/>
  <c r="G108" i="2" l="1"/>
  <c r="J108" i="2" s="1"/>
  <c r="D109" i="2" s="1"/>
  <c r="I108" i="2"/>
  <c r="L98" i="3"/>
  <c r="I99" i="3" l="1"/>
  <c r="K108" i="2"/>
  <c r="F109" i="2"/>
  <c r="E109" i="2"/>
  <c r="G109" i="2" s="1"/>
  <c r="J109" i="2" s="1"/>
  <c r="D110" i="2" s="1"/>
  <c r="F110" i="2" l="1"/>
  <c r="E110" i="2" s="1"/>
  <c r="I109" i="2"/>
  <c r="K99" i="3"/>
  <c r="J99" i="3"/>
  <c r="F54" i="5"/>
  <c r="I110" i="2" l="1"/>
  <c r="G110" i="2"/>
  <c r="J110" i="2" s="1"/>
  <c r="D111" i="2" s="1"/>
  <c r="I100" i="3"/>
  <c r="K109" i="2"/>
  <c r="L99" i="3"/>
  <c r="H54" i="5" s="1"/>
  <c r="G54" i="5"/>
  <c r="J100" i="3" l="1"/>
  <c r="K100" i="3"/>
  <c r="F111" i="2"/>
  <c r="E111" i="2" s="1"/>
  <c r="I101" i="3"/>
  <c r="K110" i="2"/>
  <c r="I111" i="2" l="1"/>
  <c r="G111" i="2"/>
  <c r="J111" i="2" s="1"/>
  <c r="D112" i="2" s="1"/>
  <c r="J101" i="3"/>
  <c r="L101" i="3" s="1"/>
  <c r="K101" i="3"/>
  <c r="L100" i="3"/>
  <c r="F112" i="2" l="1"/>
  <c r="E112" i="2" s="1"/>
  <c r="I102" i="3"/>
  <c r="K111" i="2"/>
  <c r="G112" i="2" l="1"/>
  <c r="J112" i="2" s="1"/>
  <c r="D113" i="2" s="1"/>
  <c r="I112" i="2"/>
  <c r="K102" i="3"/>
  <c r="J102" i="3"/>
  <c r="I103" i="3" l="1"/>
  <c r="K112" i="2"/>
  <c r="L102" i="3"/>
  <c r="F113" i="2"/>
  <c r="E113" i="2"/>
  <c r="I113" i="2" s="1"/>
  <c r="I104" i="3" l="1"/>
  <c r="K113" i="2"/>
  <c r="G113" i="2"/>
  <c r="J113" i="2" s="1"/>
  <c r="D114" i="2" s="1"/>
  <c r="J103" i="3"/>
  <c r="K103" i="3"/>
  <c r="L103" i="3" l="1"/>
  <c r="F114" i="2"/>
  <c r="E114" i="2" s="1"/>
  <c r="J104" i="3"/>
  <c r="L104" i="3" s="1"/>
  <c r="K104" i="3"/>
  <c r="I114" i="2" l="1"/>
  <c r="G114" i="2"/>
  <c r="J114" i="2" s="1"/>
  <c r="D115" i="2" s="1"/>
  <c r="F115" i="2" l="1"/>
  <c r="E115" i="2"/>
  <c r="I115" i="2" s="1"/>
  <c r="I105" i="3"/>
  <c r="K114" i="2"/>
  <c r="I106" i="3" l="1"/>
  <c r="K115" i="2"/>
  <c r="K105" i="3"/>
  <c r="J105" i="3"/>
  <c r="G115" i="2"/>
  <c r="J115" i="2" s="1"/>
  <c r="D116" i="2" s="1"/>
  <c r="F116" i="2" l="1"/>
  <c r="E116" i="2"/>
  <c r="G116" i="2" s="1"/>
  <c r="J116" i="2" s="1"/>
  <c r="D117" i="2" s="1"/>
  <c r="L105" i="3"/>
  <c r="K106" i="3"/>
  <c r="J106" i="3"/>
  <c r="L106" i="3" s="1"/>
  <c r="F117" i="2" l="1"/>
  <c r="E117" i="2"/>
  <c r="G117" i="2" s="1"/>
  <c r="J117" i="2" s="1"/>
  <c r="D118" i="2" s="1"/>
  <c r="I116" i="2"/>
  <c r="F118" i="2" l="1"/>
  <c r="E118" i="2" s="1"/>
  <c r="I107" i="3"/>
  <c r="K116" i="2"/>
  <c r="I117" i="2"/>
  <c r="I118" i="2" l="1"/>
  <c r="G118" i="2"/>
  <c r="J118" i="2" s="1"/>
  <c r="D119" i="2" s="1"/>
  <c r="J107" i="3"/>
  <c r="K107" i="3"/>
  <c r="I108" i="3"/>
  <c r="K117" i="2"/>
  <c r="K108" i="3" l="1"/>
  <c r="J108" i="3"/>
  <c r="L108" i="3" s="1"/>
  <c r="L107" i="3"/>
  <c r="E119" i="2"/>
  <c r="G119" i="2" s="1"/>
  <c r="J119" i="2" s="1"/>
  <c r="D120" i="2" s="1"/>
  <c r="F119" i="2"/>
  <c r="I109" i="3"/>
  <c r="K118" i="2"/>
  <c r="F120" i="2" l="1"/>
  <c r="E120" i="2"/>
  <c r="G120" i="2" s="1"/>
  <c r="J120" i="2" s="1"/>
  <c r="D121" i="2" s="1"/>
  <c r="I119" i="2"/>
  <c r="J109" i="3"/>
  <c r="L109" i="3" s="1"/>
  <c r="K109" i="3"/>
  <c r="F121" i="2" l="1"/>
  <c r="E121" i="2"/>
  <c r="G121" i="2" s="1"/>
  <c r="J121" i="2" s="1"/>
  <c r="D122" i="2" s="1"/>
  <c r="I120" i="2"/>
  <c r="I110" i="3"/>
  <c r="K119" i="2"/>
  <c r="F122" i="2" l="1"/>
  <c r="E122" i="2" s="1"/>
  <c r="K110" i="3"/>
  <c r="J110" i="3"/>
  <c r="L110" i="3" s="1"/>
  <c r="I121" i="2"/>
  <c r="I111" i="3"/>
  <c r="K120" i="2"/>
  <c r="G122" i="2" l="1"/>
  <c r="J122" i="2" s="1"/>
  <c r="D123" i="2" s="1"/>
  <c r="I122" i="2"/>
  <c r="J111" i="3"/>
  <c r="K111" i="3"/>
  <c r="F55" i="5"/>
  <c r="I112" i="3"/>
  <c r="K121" i="2"/>
  <c r="K112" i="3" l="1"/>
  <c r="J112" i="3"/>
  <c r="I113" i="3"/>
  <c r="K122" i="2"/>
  <c r="L111" i="3"/>
  <c r="H55" i="5" s="1"/>
  <c r="G55" i="5"/>
  <c r="F123" i="2"/>
  <c r="E123" i="2" s="1"/>
  <c r="G123" i="2" l="1"/>
  <c r="J123" i="2" s="1"/>
  <c r="D124" i="2" s="1"/>
  <c r="I123" i="2"/>
  <c r="J113" i="3"/>
  <c r="L113" i="3" s="1"/>
  <c r="K113" i="3"/>
  <c r="L112" i="3"/>
  <c r="I114" i="3" l="1"/>
  <c r="K123" i="2"/>
  <c r="F124" i="2"/>
  <c r="E124" i="2"/>
  <c r="I124" i="2" s="1"/>
  <c r="I115" i="3" l="1"/>
  <c r="K124" i="2"/>
  <c r="G124" i="2"/>
  <c r="J124" i="2" s="1"/>
  <c r="D125" i="2" s="1"/>
  <c r="K114" i="3"/>
  <c r="J114" i="3"/>
  <c r="L114" i="3" l="1"/>
  <c r="F125" i="2"/>
  <c r="E125" i="2"/>
  <c r="I125" i="2"/>
  <c r="I116" i="3" s="1"/>
  <c r="G125" i="2"/>
  <c r="J125" i="2" s="1"/>
  <c r="D126" i="2" s="1"/>
  <c r="J115" i="3"/>
  <c r="L115" i="3" s="1"/>
  <c r="K115" i="3"/>
  <c r="F126" i="2" l="1"/>
  <c r="E126" i="2" s="1"/>
  <c r="K125" i="2"/>
  <c r="K116" i="3"/>
  <c r="J116" i="3"/>
  <c r="L116" i="3" s="1"/>
  <c r="I126" i="2" l="1"/>
  <c r="G126" i="2"/>
  <c r="J126" i="2" s="1"/>
  <c r="D127" i="2" s="1"/>
  <c r="F127" i="2" l="1"/>
  <c r="E127" i="2"/>
  <c r="G127" i="2" s="1"/>
  <c r="J127" i="2" s="1"/>
  <c r="D128" i="2" s="1"/>
  <c r="I127" i="2"/>
  <c r="I118" i="3" s="1"/>
  <c r="I117" i="3"/>
  <c r="K126" i="2"/>
  <c r="F128" i="2" l="1"/>
  <c r="E128" i="2"/>
  <c r="G128" i="2" s="1"/>
  <c r="J128" i="2" s="1"/>
  <c r="D129" i="2" s="1"/>
  <c r="K118" i="3"/>
  <c r="J118" i="3"/>
  <c r="L118" i="3" s="1"/>
  <c r="K117" i="3"/>
  <c r="J117" i="3"/>
  <c r="K127" i="2"/>
  <c r="F129" i="2" l="1"/>
  <c r="G129" i="2"/>
  <c r="J129" i="2" s="1"/>
  <c r="D130" i="2" s="1"/>
  <c r="E129" i="2"/>
  <c r="I129" i="2" s="1"/>
  <c r="I128" i="2"/>
  <c r="L117" i="3"/>
  <c r="I120" i="3" l="1"/>
  <c r="K129" i="2"/>
  <c r="F130" i="2"/>
  <c r="E130" i="2" s="1"/>
  <c r="I119" i="3"/>
  <c r="K128" i="2"/>
  <c r="I130" i="2" l="1"/>
  <c r="G130" i="2"/>
  <c r="J130" i="2" s="1"/>
  <c r="D131" i="2" s="1"/>
  <c r="K119" i="3"/>
  <c r="J119" i="3"/>
  <c r="K120" i="3"/>
  <c r="J120" i="3"/>
  <c r="L120" i="3" s="1"/>
  <c r="L119" i="3" l="1"/>
  <c r="F131" i="2"/>
  <c r="E131" i="2"/>
  <c r="G131" i="2" s="1"/>
  <c r="J131" i="2" s="1"/>
  <c r="D132" i="2" s="1"/>
  <c r="I121" i="3"/>
  <c r="K130" i="2"/>
  <c r="F132" i="2" l="1"/>
  <c r="F157" i="2" s="1"/>
  <c r="E132" i="2"/>
  <c r="E157" i="2" s="1"/>
  <c r="I131" i="2"/>
  <c r="K121" i="3"/>
  <c r="J121" i="3"/>
  <c r="L121" i="3" s="1"/>
  <c r="I122" i="3" l="1"/>
  <c r="K131" i="2"/>
  <c r="I132" i="2"/>
  <c r="G132" i="2"/>
  <c r="G157" i="2" l="1"/>
  <c r="J132" i="2"/>
  <c r="I123" i="3"/>
  <c r="I157" i="2"/>
  <c r="K132" i="2"/>
  <c r="J122" i="3"/>
  <c r="L122" i="3" s="1"/>
  <c r="K122" i="3"/>
  <c r="K123" i="3" l="1"/>
  <c r="J123" i="3"/>
  <c r="I148" i="3"/>
  <c r="F56" i="5"/>
  <c r="C16" i="4" l="1"/>
  <c r="C36" i="4"/>
  <c r="D5" i="5" s="1"/>
  <c r="L136" i="3"/>
  <c r="L144" i="3"/>
  <c r="L127" i="3"/>
  <c r="L123" i="3"/>
  <c r="H56" i="5" s="1"/>
  <c r="L141" i="3"/>
  <c r="L142" i="3"/>
  <c r="J148" i="3"/>
  <c r="C17" i="4" s="1"/>
  <c r="L131" i="3"/>
  <c r="L124" i="3"/>
  <c r="L125" i="3"/>
  <c r="L135" i="3"/>
  <c r="L133" i="3"/>
  <c r="L129" i="3"/>
  <c r="L134" i="3"/>
  <c r="L140" i="3"/>
  <c r="L126" i="3"/>
  <c r="L139" i="3"/>
  <c r="L143" i="3"/>
  <c r="L147" i="3"/>
  <c r="L146" i="3"/>
  <c r="L137" i="3"/>
  <c r="L130" i="3"/>
  <c r="L138" i="3"/>
  <c r="L128" i="3"/>
  <c r="L145" i="3"/>
  <c r="L132" i="3"/>
  <c r="G56" i="5"/>
  <c r="H57" i="5" l="1"/>
  <c r="H58" i="5"/>
  <c r="C30" i="4"/>
  <c r="F5" i="5"/>
  <c r="C35" i="4" l="1"/>
  <c r="B5" i="5" s="1"/>
  <c r="C31" i="4"/>
  <c r="C5" i="5" s="1"/>
</calcChain>
</file>

<file path=xl/sharedStrings.xml><?xml version="1.0" encoding="utf-8"?>
<sst xmlns="http://schemas.openxmlformats.org/spreadsheetml/2006/main" count="259" uniqueCount="249">
  <si>
    <t>AVIATION LEASE CASH FLOW MODEL  |  Model Inputs &amp; Assumptions</t>
  </si>
  <si>
    <t>Blue = Hardcoded Input  |  Black = Formula  |  Green = Cross-sheet Link  |  Yellow Background = Key Assumption</t>
  </si>
  <si>
    <t>SCENARIO &amp; DEAL SELECTOR</t>
  </si>
  <si>
    <t>Active Deal (1=737, 2=A320)</t>
  </si>
  <si>
    <t>Scenario (1=Base, 2=Upside, 3=Downside)</t>
  </si>
  <si>
    <t>AIRCRAFT &amp; DEAL ASSUMPTIONS</t>
  </si>
  <si>
    <t>Parameter</t>
  </si>
  <si>
    <t>Boeing 737-800 (Deal 1)</t>
  </si>
  <si>
    <t>Airbus A320neo (Deal 2)</t>
  </si>
  <si>
    <t>Aircraft Type</t>
  </si>
  <si>
    <t>Boeing 737-800</t>
  </si>
  <si>
    <t>Airbus A320neo</t>
  </si>
  <si>
    <t>Manufacturer Serial No.</t>
  </si>
  <si>
    <t>MSN-28024</t>
  </si>
  <si>
    <t>MSN-10458</t>
  </si>
  <si>
    <t>Year of Manufacture</t>
  </si>
  <si>
    <t>Purchase Price ($)</t>
  </si>
  <si>
    <t>Lease Rate Factor (monthly)</t>
  </si>
  <si>
    <t>Monthly Lease Payment ($)</t>
  </si>
  <si>
    <t>Lease Term (months)</t>
  </si>
  <si>
    <t>Lease Start Date</t>
  </si>
  <si>
    <t>2024-01-01</t>
  </si>
  <si>
    <t>2024-04-01</t>
  </si>
  <si>
    <t>Lessee Name</t>
  </si>
  <si>
    <t>Regional Air Inc.</t>
  </si>
  <si>
    <t>EuroFly S.A.</t>
  </si>
  <si>
    <t>Lessee Credit Rating</t>
  </si>
  <si>
    <t>BB+</t>
  </si>
  <si>
    <t>BBB-</t>
  </si>
  <si>
    <t>DEBT FINANCING ASSUMPTIONS</t>
  </si>
  <si>
    <t>Deal 1 (737)</t>
  </si>
  <si>
    <t>Deal 2 (A320)</t>
  </si>
  <si>
    <t>LTV Ratio</t>
  </si>
  <si>
    <t>Loan Amount ($)</t>
  </si>
  <si>
    <t>Annual Interest Rate</t>
  </si>
  <si>
    <t>Amortization Period (months)</t>
  </si>
  <si>
    <t>Balloon Payment (% of orig.)</t>
  </si>
  <si>
    <t>Loan Origination Fee (%)</t>
  </si>
  <si>
    <t>DSCR Covenant Minimum</t>
  </si>
  <si>
    <t>OPERATING COSTS &amp; MAINTENANCE RESERVES (Annual)</t>
  </si>
  <si>
    <t>Cost Item</t>
  </si>
  <si>
    <t>Servicer / Asset Mgmt Fee ($)</t>
  </si>
  <si>
    <t>Insurance (Annual $)</t>
  </si>
  <si>
    <t>Legal &amp; Administrative ($)</t>
  </si>
  <si>
    <t>Maintenance Reserve - Engine ($)</t>
  </si>
  <si>
    <t>Maintenance Reserve - Airframe ($)</t>
  </si>
  <si>
    <t>Other OpEx ($)</t>
  </si>
  <si>
    <t>Annual Cost Escalation (%)</t>
  </si>
  <si>
    <t>RESIDUAL VALUE &amp; EXIT ASSUMPTIONS</t>
  </si>
  <si>
    <t>Annual Depreciation Rate (%)</t>
  </si>
  <si>
    <t>Base Residual Value ($)</t>
  </si>
  <si>
    <t>Haircut to RV (Base %)</t>
  </si>
  <si>
    <t>Haircut to RV (Downside %)</t>
  </si>
  <si>
    <t>Haircut to RV (Upside %)</t>
  </si>
  <si>
    <t>Re-Lease Period (months, if default)</t>
  </si>
  <si>
    <t>Re-Lease Rate Factor (Base)</t>
  </si>
  <si>
    <t>SCENARIO ADJUSTMENT FACTORS (Applied to Active Deal)</t>
  </si>
  <si>
    <t>Base</t>
  </si>
  <si>
    <t>Upside</t>
  </si>
  <si>
    <t>Downside</t>
  </si>
  <si>
    <t>Lease Rate Factor Adj.</t>
  </si>
  <si>
    <t>OpEx Adj.</t>
  </si>
  <si>
    <t>Residual Value Adj.</t>
  </si>
  <si>
    <t>Lessee Default (month #)</t>
  </si>
  <si>
    <t>Maintenance Shock ($)</t>
  </si>
  <si>
    <t>ACTIVE SCENARIO LOOKUPS (Formula-Driven)</t>
  </si>
  <si>
    <t>Active: LRF Adj.</t>
  </si>
  <si>
    <t>Active: OpEx Adj.</t>
  </si>
  <si>
    <t>Active: RV Adj.</t>
  </si>
  <si>
    <t>Active: Default Month</t>
  </si>
  <si>
    <t>Active: Maint. Shock ($)</t>
  </si>
  <si>
    <t>Active: Purchase Price ($)</t>
  </si>
  <si>
    <t>Active: LRF (adj.)</t>
  </si>
  <si>
    <t>Active: Monthly Lease Pmt ($)</t>
  </si>
  <si>
    <t>Active: Lease Term (months)</t>
  </si>
  <si>
    <t>Active: LTV Ratio</t>
  </si>
  <si>
    <t>Active: Loan Amount ($)</t>
  </si>
  <si>
    <t>Active: Interest Rate (Annual)</t>
  </si>
  <si>
    <t>Active: Amort. Period (months)</t>
  </si>
  <si>
    <t>Active: Balloon % of Orig.</t>
  </si>
  <si>
    <t>Active: Annual Depr. Rate</t>
  </si>
  <si>
    <t>Active: RV Haircut (scenario adj.)</t>
  </si>
  <si>
    <t>Active: Total Annual OpEx ($) adj.</t>
  </si>
  <si>
    <t>Active: OpEx Escalation (%)</t>
  </si>
  <si>
    <t>Active: DSCR Covenant Min.</t>
  </si>
  <si>
    <t>Active: Re-Lease Period (months)</t>
  </si>
  <si>
    <t>Active: Re-Lease Rate Factor</t>
  </si>
  <si>
    <t>Active: Origination Fee (%)</t>
  </si>
  <si>
    <t>AVIATION LEASE CASH FLOW MODEL  |  Debt Amortization Schedule</t>
  </si>
  <si>
    <t>Loan Amount</t>
  </si>
  <si>
    <t>Interest Rate (Annual)</t>
  </si>
  <si>
    <t>Amort. Period (mo)</t>
  </si>
  <si>
    <t>Balloon %</t>
  </si>
  <si>
    <t>Origination Fee</t>
  </si>
  <si>
    <t>Balloon Amount ($)</t>
  </si>
  <si>
    <t>Monthly Interest Rate</t>
  </si>
  <si>
    <t>Monthly P&amp;I Payment ($)</t>
  </si>
  <si>
    <t>Origination Fee ($)</t>
  </si>
  <si>
    <t>Month</t>
  </si>
  <si>
    <t>Date</t>
  </si>
  <si>
    <t>Beg. Balance ($)</t>
  </si>
  <si>
    <t>Scheduled P&amp;I ($)</t>
  </si>
  <si>
    <t>Interest ($)</t>
  </si>
  <si>
    <t>Principal ($)</t>
  </si>
  <si>
    <t>Balloon ($)</t>
  </si>
  <si>
    <t>Total Debt Svc ($)</t>
  </si>
  <si>
    <t>End Balance ($)</t>
  </si>
  <si>
    <t>LTV %</t>
  </si>
  <si>
    <t>TOTAL</t>
  </si>
  <si>
    <t>AVIATION LEASE CASH FLOW MODEL  |  Monthly Calculations</t>
  </si>
  <si>
    <t>Lessee Status</t>
  </si>
  <si>
    <t>Monthly Lease Rev ($)</t>
  </si>
  <si>
    <t>Monthly OpEx ($)</t>
  </si>
  <si>
    <t>Maint. Reserve ($)</t>
  </si>
  <si>
    <t>NOI ($)</t>
  </si>
  <si>
    <t>Debt Service ($)</t>
  </si>
  <si>
    <t>CFADS ($)</t>
  </si>
  <si>
    <t>DSCR</t>
  </si>
  <si>
    <t>Cum. CFADS ($)</t>
  </si>
  <si>
    <t>AVIATION LEASE CASH FLOW MODEL  |  Equity Cash Flows &amp; Returns</t>
  </si>
  <si>
    <t>INITIAL INVESTMENT (Month 0)</t>
  </si>
  <si>
    <t>Aircraft Purchase Price</t>
  </si>
  <si>
    <t>Equity Contribution (Purchase Price - Loan)</t>
  </si>
  <si>
    <t>Loan Proceeds</t>
  </si>
  <si>
    <t>Origination Fee Paid</t>
  </si>
  <si>
    <t>NET INITIAL EQUITY OUTFLOW</t>
  </si>
  <si>
    <t>OPERATING PERIOD (Lease Term)</t>
  </si>
  <si>
    <t>Total Lease Revenue Collected</t>
  </si>
  <si>
    <t>Total Operating Expenses</t>
  </si>
  <si>
    <t>Total Maintenance Reserves</t>
  </si>
  <si>
    <t>NET OPERATING INCOME (Total)</t>
  </si>
  <si>
    <t>Total Debt Service Paid</t>
  </si>
  <si>
    <t>CASH FLOW AFTER DEBT SERVICE (CFADS)</t>
  </si>
  <si>
    <t>EXIT / RESIDUAL VALUE</t>
  </si>
  <si>
    <t>Aircraft Book Value at Exit</t>
  </si>
  <si>
    <t>RV Haircut (Scenario)</t>
  </si>
  <si>
    <t>Net Residual Value Received</t>
  </si>
  <si>
    <t>Remaining Loan Balance at Exit</t>
  </si>
  <si>
    <t>NET EXIT EQUITY PROCEEDS</t>
  </si>
  <si>
    <t>RETURNS SUMMARY</t>
  </si>
  <si>
    <t>Total Equity Invested</t>
  </si>
  <si>
    <t>Total Equity Returned (CFADS + Exit)</t>
  </si>
  <si>
    <t>MOIC (Multiple of Invested Capital)</t>
  </si>
  <si>
    <t>IRR CALCULATION</t>
  </si>
  <si>
    <t>Monthly IRR (XIRR placeholder)</t>
  </si>
  <si>
    <t>Annualized Equity IRR</t>
  </si>
  <si>
    <t>Average Annual DSCR</t>
  </si>
  <si>
    <t>Min. Monthly DSCR</t>
  </si>
  <si>
    <t>DSCR Covenant (Min.)</t>
  </si>
  <si>
    <t>Covenant Breach?</t>
  </si>
  <si>
    <t>✈  AVIATION LEASE CASH FLOW MODEL  |  Executive Dashboard</t>
  </si>
  <si>
    <t>Equity IRR</t>
  </si>
  <si>
    <t>MOIC</t>
  </si>
  <si>
    <t>Avg DSCR</t>
  </si>
  <si>
    <t>Min DSCR</t>
  </si>
  <si>
    <t>Total CFADS</t>
  </si>
  <si>
    <t>RV (Net)</t>
  </si>
  <si>
    <t>Covenant</t>
  </si>
  <si>
    <t>▶  Change scenario: Inputs!C6  (1=Base, 2=Upside, 3=Downside)   |   Change deal: Inputs!C5  (1=737-800, 2=A320neo)</t>
  </si>
  <si>
    <t>IRR SENSITIVITY: Rate vs. Exit Haircut</t>
  </si>
  <si>
    <t>Rate \ Haircut</t>
  </si>
  <si>
    <t>0%</t>
  </si>
  <si>
    <t>5%</t>
  </si>
  <si>
    <t>10%</t>
  </si>
  <si>
    <t>15%</t>
  </si>
  <si>
    <t>20%</t>
  </si>
  <si>
    <t>5.5%</t>
  </si>
  <si>
    <t>6.0%</t>
  </si>
  <si>
    <t>6.5%</t>
  </si>
  <si>
    <t>Cum. CFADS</t>
  </si>
  <si>
    <t>Component</t>
  </si>
  <si>
    <t>Amount ($)</t>
  </si>
  <si>
    <t>7.0%</t>
  </si>
  <si>
    <t>Debt</t>
  </si>
  <si>
    <t>7.5%</t>
  </si>
  <si>
    <t>Equity</t>
  </si>
  <si>
    <t>PYTHON EQUIVALENT MODEL LOGIC (Reference Only — Not a Working Script)</t>
  </si>
  <si>
    <t>import pandas as pd</t>
  </si>
  <si>
    <t>import numpy as np</t>
  </si>
  <si>
    <t>import numpy_financial as npf</t>
  </si>
  <si>
    <t># ── INPUTS ──</t>
  </si>
  <si>
    <t>purchase_price = 72_000_000       # Boeing 737-800</t>
  </si>
  <si>
    <t>lrf            = 0.0078           # Lease Rate Factor (monthly)</t>
  </si>
  <si>
    <t>lease_term     = 120              # months</t>
  </si>
  <si>
    <t>ltv            = 0.75</t>
  </si>
  <si>
    <t>loan           = purchase_price * ltv</t>
  </si>
  <si>
    <t>annual_rate    = 0.055</t>
  </si>
  <si>
    <t>monthly_rate   = annual_rate / 12</t>
  </si>
  <si>
    <t>amort_months   = 120</t>
  </si>
  <si>
    <t>balloon_pct    = 0.20</t>
  </si>
  <si>
    <t>balloon        = loan * balloon_pct</t>
  </si>
  <si>
    <t>annual_opex    = 1_030_000        # Total annual operating costs</t>
  </si>
  <si>
    <t>opex_escal     = 0.025</t>
  </si>
  <si>
    <t>annual_depr    = 0.035</t>
  </si>
  <si>
    <t>rv_haircut     = 0.05             # Base scenario</t>
  </si>
  <si>
    <t>default_month  = 0               # 0 = no default</t>
  </si>
  <si>
    <t>relase_period  = 6</t>
  </si>
  <si>
    <t>relase_lrf     = 0.0065</t>
  </si>
  <si>
    <t># ── DEBT SCHEDULE ──</t>
  </si>
  <si>
    <t>monthly_pi = npf.pmt(monthly_rate, amort_months, -(loan - balloon), -balloon)</t>
  </si>
  <si>
    <t>debt = []</t>
  </si>
  <si>
    <t>beg_bal = loan</t>
  </si>
  <si>
    <t>for m in range(1, amort_months + 1):</t>
  </si>
  <si>
    <t xml:space="preserve">    interest  = beg_bal * monthly_rate</t>
  </si>
  <si>
    <t xml:space="preserve">    principal = monthly_pi - interest</t>
  </si>
  <si>
    <t xml:space="preserve">    bal_amt   = balloon if m == amort_months else 0</t>
  </si>
  <si>
    <t xml:space="preserve">    tds       = monthly_pi + bal_amt</t>
  </si>
  <si>
    <t xml:space="preserve">    end_bal   = max(0, beg_bal - principal - bal_amt)</t>
  </si>
  <si>
    <t xml:space="preserve">    debt.append({'month': m, 'beg_bal': beg_bal, 'interest': interest,</t>
  </si>
  <si>
    <t xml:space="preserve">                 'principal': principal, 'balloon': bal_amt,</t>
  </si>
  <si>
    <t xml:space="preserve">                 'tds': tds, 'end_bal': end_bal})</t>
  </si>
  <si>
    <t xml:space="preserve">    beg_bal = end_bal</t>
  </si>
  <si>
    <t>df_debt = pd.DataFrame(debt)</t>
  </si>
  <si>
    <t># ── MONTHLY CASH FLOWS ──</t>
  </si>
  <si>
    <t>monthly_pmt = purchase_price * lrf</t>
  </si>
  <si>
    <t>cfs = []</t>
  </si>
  <si>
    <t>for m in range(1, lease_term + 1):</t>
  </si>
  <si>
    <t xml:space="preserve">    yr = (m - 1) // 12</t>
  </si>
  <si>
    <t xml:space="preserve">    status = ('Default' if default_month &gt; 0 and m &gt;= default_month</t>
  </si>
  <si>
    <t xml:space="preserve">              and m &lt; default_month + relase_period</t>
  </si>
  <si>
    <t xml:space="preserve">              else 'Re-Lease' if default_month &gt; 0</t>
  </si>
  <si>
    <t xml:space="preserve">              and m &gt;= default_month + relase_period else 'Paying')</t>
  </si>
  <si>
    <t xml:space="preserve">    rev   = (0 if status == 'Default'</t>
  </si>
  <si>
    <t xml:space="preserve">             else purchase_price * relase_lrf if status == 'Re-Lease'</t>
  </si>
  <si>
    <t xml:space="preserve">             else monthly_pmt)</t>
  </si>
  <si>
    <t xml:space="preserve">    opex  = (annual_opex * (1 + opex_escal) ** yr) / 12</t>
  </si>
  <si>
    <t xml:space="preserve">    noi   = rev - opex</t>
  </si>
  <si>
    <t xml:space="preserve">    ds    = df_debt.loc[df_debt['month'] == m, 'tds'].values[0] if m &lt;= amort_months else 0</t>
  </si>
  <si>
    <t xml:space="preserve">    cfads = noi - ds</t>
  </si>
  <si>
    <t xml:space="preserve">    dscr  = noi / ds if ds &gt; 0 else np.nan</t>
  </si>
  <si>
    <t xml:space="preserve">    cfs.append({'month': m, 'status': status, 'revenue': rev,</t>
  </si>
  <si>
    <t xml:space="preserve">                'opex': opex, 'noi': noi, 'debt_service': ds,</t>
  </si>
  <si>
    <t xml:space="preserve">                'cfads': cfads, 'dscr': dscr})</t>
  </si>
  <si>
    <t>df_cf = pd.DataFrame(cfs)</t>
  </si>
  <si>
    <t># ── RETURNS ──</t>
  </si>
  <si>
    <t>equity_in     = purchase_price * (1 - ltv)</t>
  </si>
  <si>
    <t>total_cfads   = df_cf['cfads'].sum()</t>
  </si>
  <si>
    <t>book_val      = purchase_price * (1 - annual_depr) ** (lease_term / 12)</t>
  </si>
  <si>
    <t>net_rv        = book_val * (1 - rv_haircut)</t>
  </si>
  <si>
    <t>remain_loan   = df_debt.iloc[-1]['end_bal']</t>
  </si>
  <si>
    <t>exit_equity   = net_rv - remain_loan</t>
  </si>
  <si>
    <t>total_return  = total_cfads + exit_equity</t>
  </si>
  <si>
    <t>moic          = total_return / equity_in</t>
  </si>
  <si>
    <t>irr_monthly   = npf.irr([-equity_in] + df_cf['cfads'].tolist()[:-1] + [df_cf['cfads'].iloc[-1] + exit_equity])</t>
  </si>
  <si>
    <t>irr_annual    = (1 + irr_monthly) ** 12 - 1</t>
  </si>
  <si>
    <t>print(f'MOIC:        {moic:.2f}x')</t>
  </si>
  <si>
    <t>print(f'Equity IRR:  {irr_annual:.1%}')</t>
  </si>
  <si>
    <t>print(f'Avg DSCR:    {df_cf["dscr"].mean():.2f}x')</t>
  </si>
  <si>
    <t>print(f'Min DSCR:    {df_cf["dscr"].min():.2f}x')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</si>
</sst>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0%;\(0.00%\);\-"/>
    <numFmt numFmtId="166" formatCode="0.0%;\(0.0%\);\-"/>
    <numFmt numFmtId="167" formatCode="0.00\x"/>
    <numFmt numFmtId="168" formatCode="mmm\-yy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595959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0"/>
      <color rgb="FF595959"/>
      <name val="Arial"/>
      <charset val="1"/>
    </font>
    <font>
      <b/>
      <sz val="16"/>
      <color rgb="FFFFFFFF"/>
      <name val="Arial"/>
      <charset val="1"/>
    </font>
    <font>
      <i/>
      <sz val="10"/>
      <color rgb="FFBDD7EE"/>
      <name val="Arial"/>
      <charset val="1"/>
    </font>
    <font>
      <sz val="9"/>
      <color rgb="FF595959"/>
      <name val="Arial"/>
      <charset val="1"/>
    </font>
    <font>
      <b/>
      <sz val="18"/>
      <color rgb="FF2E75B6"/>
      <name val="Arial"/>
      <charset val="1"/>
    </font>
    <font>
      <b/>
      <sz val="18"/>
      <color rgb="FFC00000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Courier New"/>
      <charset val="1"/>
    </font>
    <font>
      <b/>
      <sz val="9"/>
      <color rgb="FF2E75B6"/>
      <name val="Courier New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FFFFFF"/>
        <bgColor rgb="FFF9F9F9"/>
      </patternFill>
    </fill>
    <fill>
      <patternFill patternType="solid">
        <fgColor rgb="FFC00000"/>
        <bgColor rgb="FFFF0000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165" fontId="7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4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8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68" fontId="0" fillId="0" borderId="0" xfId="0" applyNumberFormat="1"/>
    <xf numFmtId="164" fontId="7" fillId="0" borderId="0" xfId="0" applyNumberFormat="1" applyFont="1"/>
    <xf numFmtId="164" fontId="0" fillId="0" borderId="0" xfId="0" applyNumberFormat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/>
    <xf numFmtId="166" fontId="6" fillId="0" borderId="1" xfId="0" applyNumberFormat="1" applyFont="1" applyBorder="1"/>
    <xf numFmtId="1" fontId="0" fillId="5" borderId="1" xfId="0" applyNumberFormat="1" applyFill="1" applyBorder="1" applyAlignment="1">
      <alignment horizontal="center" vertical="center"/>
    </xf>
    <xf numFmtId="168" fontId="6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/>
    <xf numFmtId="166" fontId="6" fillId="5" borderId="1" xfId="0" applyNumberFormat="1" applyFont="1" applyFill="1" applyBorder="1"/>
    <xf numFmtId="164" fontId="9" fillId="6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/>
    <xf numFmtId="167" fontId="6" fillId="0" borderId="1" xfId="0" applyNumberFormat="1" applyFont="1" applyBorder="1"/>
    <xf numFmtId="0" fontId="6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/>
    <xf numFmtId="167" fontId="6" fillId="5" borderId="1" xfId="0" applyNumberFormat="1" applyFont="1" applyFill="1" applyBorder="1"/>
    <xf numFmtId="164" fontId="9" fillId="6" borderId="1" xfId="0" applyNumberFormat="1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1" fillId="0" borderId="0" xfId="0" applyFont="1"/>
    <xf numFmtId="167" fontId="9" fillId="7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0" fillId="3" borderId="1" xfId="0" applyFill="1" applyBorder="1"/>
    <xf numFmtId="165" fontId="0" fillId="0" borderId="1" xfId="0" applyNumberFormat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3" fillId="2" borderId="1" xfId="0" applyFont="1" applyFill="1" applyBorder="1"/>
    <xf numFmtId="165" fontId="17" fillId="10" borderId="1" xfId="0" applyNumberFormat="1" applyFont="1" applyFill="1" applyBorder="1" applyAlignment="1">
      <alignment horizontal="center" vertical="center"/>
    </xf>
    <xf numFmtId="165" fontId="17" fillId="7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/>
    <xf numFmtId="164" fontId="1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/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C9A227"/>
      <rgbColor rgb="FFED7D31"/>
      <rgbColor rgb="FF595959"/>
      <rgbColor rgb="FF70AD47"/>
      <rgbColor rgb="FF1F3864"/>
      <rgbColor rgb="FF4A7EBB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Annual Cash Flow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Dashboard!$C$46</c:f>
              <c:strCache>
                <c:ptCount val="1"/>
                <c:pt idx="0">
                  <c:v>13.09%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Dashboard!$B$47:$B$58</c:f>
              <c:strCache>
                <c:ptCount val="12"/>
                <c:pt idx="0">
                  <c:v>7.0%</c:v>
                </c:pt>
                <c:pt idx="1">
                  <c:v>7.5%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Dashboard!$C$47:$C$58</c:f>
              <c:numCache>
                <c:formatCode>0.00%;\(0.00%\);\-</c:formatCode>
                <c:ptCount val="12"/>
                <c:pt idx="0">
                  <c:v>0.12590000000000001</c:v>
                </c:pt>
                <c:pt idx="1">
                  <c:v>0.1206</c:v>
                </c:pt>
                <c:pt idx="2" formatCode="\$#,##0;&quot;($&quot;#,##0\);\-">
                  <c:v>6739200</c:v>
                </c:pt>
                <c:pt idx="3" formatCode="\$#,##0;&quot;($&quot;#,##0\);\-">
                  <c:v>6739200</c:v>
                </c:pt>
                <c:pt idx="4" formatCode="\$#,##0;&quot;($&quot;#,##0\);\-">
                  <c:v>6739200</c:v>
                </c:pt>
                <c:pt idx="5" formatCode="\$#,##0;&quot;($&quot;#,##0\);\-">
                  <c:v>6739200</c:v>
                </c:pt>
                <c:pt idx="6" formatCode="\$#,##0;&quot;($&quot;#,##0\);\-">
                  <c:v>6739200</c:v>
                </c:pt>
                <c:pt idx="7" formatCode="\$#,##0;&quot;($&quot;#,##0\);\-">
                  <c:v>6739200</c:v>
                </c:pt>
                <c:pt idx="8" formatCode="\$#,##0;&quot;($&quot;#,##0\);\-">
                  <c:v>6739200</c:v>
                </c:pt>
                <c:pt idx="9" formatCode="\$#,##0;&quot;($&quot;#,##0\);\-">
                  <c:v>6739200</c:v>
                </c:pt>
                <c:pt idx="10" formatCode="\$#,##0;&quot;($&quot;#,##0\);\-">
                  <c:v>0</c:v>
                </c:pt>
                <c:pt idx="11" formatCode="\$#,##0;&quot;($&quot;#,##0\);\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0-4E57-A587-5C53A9AC581F}"/>
            </c:ext>
          </c:extLst>
        </c:ser>
        <c:ser>
          <c:idx val="1"/>
          <c:order val="1"/>
          <c:tx>
            <c:strRef>
              <c:f>Dashboard!$E$46</c:f>
              <c:strCache>
                <c:ptCount val="1"/>
                <c:pt idx="0">
                  <c:v>12.13%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Dashboard!$B$47:$B$58</c:f>
              <c:strCache>
                <c:ptCount val="12"/>
                <c:pt idx="0">
                  <c:v>7.0%</c:v>
                </c:pt>
                <c:pt idx="1">
                  <c:v>7.5%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Dashboard!$E$47:$E$58</c:f>
              <c:numCache>
                <c:formatCode>0.00%;\(0.00%\);\-</c:formatCode>
                <c:ptCount val="12"/>
                <c:pt idx="0">
                  <c:v>0.1159</c:v>
                </c:pt>
                <c:pt idx="1">
                  <c:v>0.1101</c:v>
                </c:pt>
                <c:pt idx="2" formatCode="\$#,##0;&quot;($&quot;#,##0\);\-">
                  <c:v>4995162.5</c:v>
                </c:pt>
                <c:pt idx="3" formatCode="\$#,##0;&quot;($&quot;#,##0\);\-">
                  <c:v>4951561.5625000009</c:v>
                </c:pt>
                <c:pt idx="4" formatCode="\$#,##0;&quot;($&quot;#,##0\);\-">
                  <c:v>4906870.6015625</c:v>
                </c:pt>
                <c:pt idx="5" formatCode="\$#,##0;&quot;($&quot;#,##0\);\-">
                  <c:v>4861062.3666015631</c:v>
                </c:pt>
                <c:pt idx="6" formatCode="\$#,##0;&quot;($&quot;#,##0\);\-">
                  <c:v>4814108.9257666022</c:v>
                </c:pt>
                <c:pt idx="7" formatCode="\$#,##0;&quot;($&quot;#,##0\);\-">
                  <c:v>4765981.6489107674</c:v>
                </c:pt>
                <c:pt idx="8" formatCode="\$#,##0;&quot;($&quot;#,##0\);\-">
                  <c:v>4716651.1901335372</c:v>
                </c:pt>
                <c:pt idx="9" formatCode="\$#,##0;&quot;($&quot;#,##0\);\-">
                  <c:v>4666087.4698868748</c:v>
                </c:pt>
                <c:pt idx="10" formatCode="\$#,##0;&quot;($&quot;#,##0\);\-">
                  <c:v>-1318487.0805222483</c:v>
                </c:pt>
                <c:pt idx="11" formatCode="\$#,##0;&quot;($&quot;#,##0\);\-">
                  <c:v>-1351449.2575353039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0-4E57-A587-5C53A9AC581F}"/>
            </c:ext>
          </c:extLst>
        </c:ser>
        <c:ser>
          <c:idx val="2"/>
          <c:order val="2"/>
          <c:tx>
            <c:strRef>
              <c:f>Dashboard!$F$46</c:f>
              <c:strCache>
                <c:ptCount val="1"/>
                <c:pt idx="0">
                  <c:v>11.62%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Dashboard!$B$47:$B$58</c:f>
              <c:strCache>
                <c:ptCount val="12"/>
                <c:pt idx="0">
                  <c:v>7.0%</c:v>
                </c:pt>
                <c:pt idx="1">
                  <c:v>7.5%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Dashboard!$F$47:$F$58</c:f>
              <c:numCache>
                <c:formatCode>0.00%;\(0.00%\);\-</c:formatCode>
                <c:ptCount val="12"/>
                <c:pt idx="0">
                  <c:v>0.1105</c:v>
                </c:pt>
                <c:pt idx="1">
                  <c:v>0.1045</c:v>
                </c:pt>
                <c:pt idx="2" formatCode="\$#,##0;&quot;($&quot;#,##0\);\-">
                  <c:v>-6438502.8118391512</c:v>
                </c:pt>
                <c:pt idx="3" formatCode="\$#,##0;&quot;($&quot;#,##0\);\-">
                  <c:v>-6438502.8118391512</c:v>
                </c:pt>
                <c:pt idx="4" formatCode="\$#,##0;&quot;($&quot;#,##0\);\-">
                  <c:v>-6438502.8118391512</c:v>
                </c:pt>
                <c:pt idx="5" formatCode="\$#,##0;&quot;($&quot;#,##0\);\-">
                  <c:v>-6438502.8118391512</c:v>
                </c:pt>
                <c:pt idx="6" formatCode="\$#,##0;&quot;($&quot;#,##0\);\-">
                  <c:v>-6438502.8118391512</c:v>
                </c:pt>
                <c:pt idx="7" formatCode="\$#,##0;&quot;($&quot;#,##0\);\-">
                  <c:v>-6438502.8118391512</c:v>
                </c:pt>
                <c:pt idx="8" formatCode="\$#,##0;&quot;($&quot;#,##0\);\-">
                  <c:v>-6438502.8118391512</c:v>
                </c:pt>
                <c:pt idx="9" formatCode="\$#,##0;&quot;($&quot;#,##0\);\-">
                  <c:v>-17238502.811839148</c:v>
                </c:pt>
                <c:pt idx="10" formatCode="\$#,##0;&quot;($&quot;#,##0\);\-">
                  <c:v>0</c:v>
                </c:pt>
                <c:pt idx="11" formatCode="\$#,##0;&quot;($&quot;#,##0\);\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0-4E57-A587-5C53A9AC5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8127"/>
        <c:axId val="19613014"/>
      </c:barChart>
      <c:catAx>
        <c:axId val="1368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13014"/>
        <c:crosses val="autoZero"/>
        <c:auto val="1"/>
        <c:lblAlgn val="ctr"/>
        <c:lblOffset val="100"/>
        <c:noMultiLvlLbl val="0"/>
      </c:catAx>
      <c:valAx>
        <c:axId val="19613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8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Cumulative CFADS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Dashboard!$H$46</c:f>
              <c:strCache>
                <c:ptCount val="1"/>
                <c:pt idx="0">
                  <c:v>Cum. CFADS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Dashboard!$B$47:$B$58</c:f>
              <c:strCache>
                <c:ptCount val="12"/>
                <c:pt idx="0">
                  <c:v>7.0%</c:v>
                </c:pt>
                <c:pt idx="1">
                  <c:v>7.5%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Dashboard!$H$47:$H$58</c:f>
              <c:numCache>
                <c:formatCode>\$#,##0;"($"#,##0\);\-</c:formatCode>
                <c:ptCount val="12"/>
                <c:pt idx="0">
                  <c:v>-8835468.2769544795</c:v>
                </c:pt>
                <c:pt idx="1">
                  <c:v>-34252320.29597877</c:v>
                </c:pt>
                <c:pt idx="2">
                  <c:v>-76755299.807072848</c:v>
                </c:pt>
                <c:pt idx="3">
                  <c:v>-136861769.15398675</c:v>
                </c:pt>
                <c:pt idx="4">
                  <c:v>-215102024.73906422</c:v>
                </c:pt>
                <c:pt idx="5">
                  <c:v>-312019620.37470752</c:v>
                </c:pt>
                <c:pt idx="6">
                  <c:v>-428171698.71862906</c:v>
                </c:pt>
                <c:pt idx="7">
                  <c:v>-564129330.99498403</c:v>
                </c:pt>
                <c:pt idx="8">
                  <c:v>-720477865.2085315</c:v>
                </c:pt>
                <c:pt idx="9">
                  <c:v>-908617283.0641495</c:v>
                </c:pt>
                <c:pt idx="10">
                  <c:v>-1233875151.3238997</c:v>
                </c:pt>
                <c:pt idx="11">
                  <c:v>-1575169118.7005022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7A-4F79-A646-02BFE65E5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688279"/>
        <c:axId val="13816259"/>
      </c:lineChart>
      <c:catAx>
        <c:axId val="80688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16259"/>
        <c:crosses val="autoZero"/>
        <c:auto val="1"/>
        <c:lblAlgn val="ctr"/>
        <c:lblOffset val="100"/>
        <c:noMultiLvlLbl val="0"/>
      </c:catAx>
      <c:valAx>
        <c:axId val="13816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Cash Flow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88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Capital Structure: Debt vs.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Dashboard!$J$47:$J$48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Dashboard!$K$47:$K$48</c:f>
              <c:numCache>
                <c:formatCode>\$#,##0;"($"#,##0\);\-</c:formatCode>
                <c:ptCount val="2"/>
                <c:pt idx="0">
                  <c:v>54000000</c:v>
                </c:pt>
                <c:pt idx="1">
                  <c:v>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6-4860-A10E-F2E86F4D8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89854"/>
        <c:axId val="74817910"/>
      </c:barChart>
      <c:catAx>
        <c:axId val="525898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17910"/>
        <c:crosses val="autoZero"/>
        <c:auto val="1"/>
        <c:lblAlgn val="ctr"/>
        <c:lblOffset val="100"/>
        <c:noMultiLvlLbl val="0"/>
      </c:catAx>
      <c:valAx>
        <c:axId val="748179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89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277200</xdr:colOff>
      <xdr:row>31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11</xdr:col>
      <xdr:colOff>205233</xdr:colOff>
      <xdr:row>31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153681</xdr:colOff>
      <xdr:row>58</xdr:row>
      <xdr:rowOff>57630</xdr:rowOff>
    </xdr:from>
    <xdr:to>
      <xdr:col>5</xdr:col>
      <xdr:colOff>300959</xdr:colOff>
      <xdr:row>71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H87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3" customWidth="1"/>
    <col min="2" max="2" width="32" customWidth="1"/>
    <col min="3" max="3" width="18" customWidth="1"/>
    <col min="4" max="4" width="4" customWidth="1"/>
    <col min="5" max="5" width="32" customWidth="1"/>
    <col min="6" max="6" width="18" customWidth="1"/>
    <col min="7" max="7" width="4" customWidth="1"/>
  </cols>
  <sheetData>
    <row r="1" spans="1:7" ht="30" customHeight="1" x14ac:dyDescent="0.3">
      <c r="A1" s="68" t="s">
        <v>0</v>
      </c>
      <c r="B1" s="68"/>
      <c r="C1" s="68"/>
      <c r="D1" s="68"/>
      <c r="E1" s="68"/>
      <c r="F1" s="68"/>
      <c r="G1" s="68"/>
    </row>
    <row r="2" spans="1:7" x14ac:dyDescent="0.3">
      <c r="A2" s="74" t="s">
        <v>1</v>
      </c>
      <c r="B2" s="74"/>
      <c r="C2" s="74"/>
      <c r="D2" s="74"/>
      <c r="E2" s="74"/>
      <c r="F2" s="74"/>
      <c r="G2" s="74"/>
    </row>
    <row r="4" spans="1:7" x14ac:dyDescent="0.3">
      <c r="B4" s="73" t="s">
        <v>2</v>
      </c>
      <c r="C4" s="73"/>
      <c r="D4" s="73"/>
      <c r="E4" s="73"/>
      <c r="F4" s="73"/>
    </row>
    <row r="5" spans="1:7" x14ac:dyDescent="0.3">
      <c r="B5" s="4" t="s">
        <v>3</v>
      </c>
      <c r="C5" s="5">
        <v>1</v>
      </c>
    </row>
    <row r="6" spans="1:7" x14ac:dyDescent="0.3">
      <c r="B6" s="4" t="s">
        <v>4</v>
      </c>
      <c r="C6" s="5">
        <v>1</v>
      </c>
    </row>
    <row r="8" spans="1:7" x14ac:dyDescent="0.3">
      <c r="B8" s="73" t="s">
        <v>5</v>
      </c>
      <c r="C8" s="73"/>
      <c r="D8" s="73"/>
      <c r="E8" s="73"/>
      <c r="F8" s="73"/>
    </row>
    <row r="9" spans="1:7" x14ac:dyDescent="0.3">
      <c r="B9" s="3" t="s">
        <v>6</v>
      </c>
      <c r="C9" s="3" t="s">
        <v>7</v>
      </c>
      <c r="E9" s="3" t="s">
        <v>8</v>
      </c>
    </row>
    <row r="10" spans="1:7" x14ac:dyDescent="0.3">
      <c r="B10" s="4" t="s">
        <v>9</v>
      </c>
      <c r="C10" s="6" t="s">
        <v>10</v>
      </c>
      <c r="F10" s="6" t="s">
        <v>11</v>
      </c>
    </row>
    <row r="11" spans="1:7" x14ac:dyDescent="0.3">
      <c r="B11" s="4" t="s">
        <v>12</v>
      </c>
      <c r="C11" s="6" t="s">
        <v>13</v>
      </c>
      <c r="F11" s="6" t="s">
        <v>14</v>
      </c>
    </row>
    <row r="12" spans="1:7" x14ac:dyDescent="0.3">
      <c r="B12" s="4" t="s">
        <v>15</v>
      </c>
      <c r="C12" s="7">
        <v>2018</v>
      </c>
      <c r="F12" s="7">
        <v>2020</v>
      </c>
    </row>
    <row r="13" spans="1:7" x14ac:dyDescent="0.3">
      <c r="B13" s="4" t="s">
        <v>16</v>
      </c>
      <c r="C13" s="8">
        <v>72000000</v>
      </c>
      <c r="F13" s="8">
        <v>85000000</v>
      </c>
    </row>
    <row r="14" spans="1:7" x14ac:dyDescent="0.3">
      <c r="B14" s="4" t="s">
        <v>17</v>
      </c>
      <c r="C14" s="9">
        <v>7.7999999999999996E-3</v>
      </c>
      <c r="F14" s="9">
        <v>8.2000000000000007E-3</v>
      </c>
    </row>
    <row r="15" spans="1:7" x14ac:dyDescent="0.3">
      <c r="B15" s="4" t="s">
        <v>18</v>
      </c>
      <c r="C15" s="10">
        <f>C14*C13</f>
        <v>561600</v>
      </c>
      <c r="F15" s="10">
        <f>F14*F13</f>
        <v>697000.00000000012</v>
      </c>
    </row>
    <row r="16" spans="1:7" x14ac:dyDescent="0.3">
      <c r="B16" s="4" t="s">
        <v>19</v>
      </c>
      <c r="C16" s="7">
        <v>120</v>
      </c>
      <c r="F16" s="7">
        <v>144</v>
      </c>
    </row>
    <row r="17" spans="2:6" x14ac:dyDescent="0.3">
      <c r="B17" s="4" t="s">
        <v>20</v>
      </c>
      <c r="C17" s="6" t="s">
        <v>21</v>
      </c>
      <c r="F17" s="6" t="s">
        <v>22</v>
      </c>
    </row>
    <row r="18" spans="2:6" x14ac:dyDescent="0.3">
      <c r="B18" s="4" t="s">
        <v>23</v>
      </c>
      <c r="C18" s="6" t="s">
        <v>24</v>
      </c>
      <c r="F18" s="6" t="s">
        <v>25</v>
      </c>
    </row>
    <row r="19" spans="2:6" x14ac:dyDescent="0.3">
      <c r="B19" s="4" t="s">
        <v>26</v>
      </c>
      <c r="C19" s="6" t="s">
        <v>27</v>
      </c>
      <c r="F19" s="6" t="s">
        <v>28</v>
      </c>
    </row>
    <row r="22" spans="2:6" x14ac:dyDescent="0.3">
      <c r="B22" s="73" t="s">
        <v>29</v>
      </c>
      <c r="C22" s="73"/>
      <c r="D22" s="73"/>
      <c r="E22" s="73"/>
      <c r="F22" s="73"/>
    </row>
    <row r="23" spans="2:6" x14ac:dyDescent="0.3">
      <c r="B23" s="3" t="s">
        <v>6</v>
      </c>
      <c r="C23" s="3" t="s">
        <v>30</v>
      </c>
      <c r="E23" s="3" t="s">
        <v>31</v>
      </c>
    </row>
    <row r="24" spans="2:6" x14ac:dyDescent="0.3">
      <c r="B24" s="4" t="s">
        <v>32</v>
      </c>
      <c r="C24" s="11">
        <v>0.75</v>
      </c>
      <c r="F24" s="11">
        <v>0.7</v>
      </c>
    </row>
    <row r="25" spans="2:6" x14ac:dyDescent="0.3">
      <c r="B25" s="4" t="s">
        <v>33</v>
      </c>
      <c r="C25" s="10">
        <f>C13*C24</f>
        <v>54000000</v>
      </c>
      <c r="F25" s="10">
        <f>F13*F24</f>
        <v>59499999.999999993</v>
      </c>
    </row>
    <row r="26" spans="2:6" x14ac:dyDescent="0.3">
      <c r="B26" s="4" t="s">
        <v>34</v>
      </c>
      <c r="C26" s="9">
        <v>5.5E-2</v>
      </c>
      <c r="F26" s="9">
        <v>0.06</v>
      </c>
    </row>
    <row r="27" spans="2:6" x14ac:dyDescent="0.3">
      <c r="B27" s="4" t="s">
        <v>35</v>
      </c>
      <c r="C27" s="7">
        <v>120</v>
      </c>
      <c r="F27" s="7">
        <v>144</v>
      </c>
    </row>
    <row r="28" spans="2:6" x14ac:dyDescent="0.3">
      <c r="B28" s="4" t="s">
        <v>36</v>
      </c>
      <c r="C28" s="11">
        <v>0.2</v>
      </c>
      <c r="F28" s="11">
        <v>0.15</v>
      </c>
    </row>
    <row r="29" spans="2:6" x14ac:dyDescent="0.3">
      <c r="B29" s="4" t="s">
        <v>37</v>
      </c>
      <c r="C29" s="9">
        <v>0.01</v>
      </c>
      <c r="F29" s="9">
        <v>0.01</v>
      </c>
    </row>
    <row r="30" spans="2:6" x14ac:dyDescent="0.3">
      <c r="B30" s="4" t="s">
        <v>38</v>
      </c>
      <c r="C30" s="12">
        <v>1.25</v>
      </c>
      <c r="F30" s="12">
        <v>1.2</v>
      </c>
    </row>
    <row r="33" spans="2:6" x14ac:dyDescent="0.3">
      <c r="B33" s="73" t="s">
        <v>39</v>
      </c>
      <c r="C33" s="73"/>
      <c r="D33" s="73"/>
      <c r="E33" s="73"/>
      <c r="F33" s="73"/>
    </row>
    <row r="34" spans="2:6" x14ac:dyDescent="0.3">
      <c r="B34" s="3" t="s">
        <v>40</v>
      </c>
      <c r="C34" s="3" t="s">
        <v>30</v>
      </c>
      <c r="E34" s="3" t="s">
        <v>31</v>
      </c>
    </row>
    <row r="35" spans="2:6" x14ac:dyDescent="0.3">
      <c r="B35" s="4" t="s">
        <v>41</v>
      </c>
      <c r="C35" s="8">
        <v>180000</v>
      </c>
      <c r="F35" s="8">
        <v>210000</v>
      </c>
    </row>
    <row r="36" spans="2:6" x14ac:dyDescent="0.3">
      <c r="B36" s="4" t="s">
        <v>42</v>
      </c>
      <c r="C36" s="8">
        <v>120000</v>
      </c>
      <c r="F36" s="8">
        <v>140000</v>
      </c>
    </row>
    <row r="37" spans="2:6" x14ac:dyDescent="0.3">
      <c r="B37" s="4" t="s">
        <v>43</v>
      </c>
      <c r="C37" s="8">
        <v>40000</v>
      </c>
      <c r="F37" s="8">
        <v>50000</v>
      </c>
    </row>
    <row r="38" spans="2:6" x14ac:dyDescent="0.3">
      <c r="B38" s="4" t="s">
        <v>44</v>
      </c>
      <c r="C38" s="8">
        <v>450000</v>
      </c>
      <c r="F38" s="8">
        <v>520000</v>
      </c>
    </row>
    <row r="39" spans="2:6" x14ac:dyDescent="0.3">
      <c r="B39" s="4" t="s">
        <v>45</v>
      </c>
      <c r="C39" s="8">
        <v>180000</v>
      </c>
      <c r="F39" s="8">
        <v>200000</v>
      </c>
    </row>
    <row r="40" spans="2:6" x14ac:dyDescent="0.3">
      <c r="B40" s="4" t="s">
        <v>46</v>
      </c>
      <c r="C40" s="8">
        <v>60000</v>
      </c>
      <c r="F40" s="8">
        <v>75000</v>
      </c>
    </row>
    <row r="41" spans="2:6" x14ac:dyDescent="0.3">
      <c r="B41" s="4" t="s">
        <v>47</v>
      </c>
      <c r="C41" s="9">
        <v>2.5000000000000001E-2</v>
      </c>
      <c r="F41" s="9">
        <v>2.5000000000000001E-2</v>
      </c>
    </row>
    <row r="44" spans="2:6" x14ac:dyDescent="0.3">
      <c r="B44" s="73" t="s">
        <v>48</v>
      </c>
      <c r="C44" s="73"/>
      <c r="D44" s="73"/>
      <c r="E44" s="73"/>
      <c r="F44" s="73"/>
    </row>
    <row r="45" spans="2:6" x14ac:dyDescent="0.3">
      <c r="B45" s="3" t="s">
        <v>6</v>
      </c>
      <c r="C45" s="3" t="s">
        <v>30</v>
      </c>
      <c r="E45" s="3" t="s">
        <v>31</v>
      </c>
    </row>
    <row r="46" spans="2:6" x14ac:dyDescent="0.3">
      <c r="B46" s="4" t="s">
        <v>49</v>
      </c>
      <c r="C46" s="9">
        <v>3.5000000000000003E-2</v>
      </c>
      <c r="F46" s="9">
        <v>0.03</v>
      </c>
    </row>
    <row r="47" spans="2:6" x14ac:dyDescent="0.3">
      <c r="B47" s="4" t="s">
        <v>50</v>
      </c>
      <c r="C47" s="10">
        <f>C13*(1-C46)^(C16/12)</f>
        <v>50420323.739024237</v>
      </c>
      <c r="F47" s="10">
        <f>F13*(1-F46)^(F16/12)</f>
        <v>58976600.684612215</v>
      </c>
    </row>
    <row r="48" spans="2:6" x14ac:dyDescent="0.3">
      <c r="B48" s="4" t="s">
        <v>51</v>
      </c>
      <c r="C48" s="11">
        <v>0.05</v>
      </c>
      <c r="F48" s="11">
        <v>0.05</v>
      </c>
    </row>
    <row r="49" spans="2:8" x14ac:dyDescent="0.3">
      <c r="B49" s="4" t="s">
        <v>52</v>
      </c>
      <c r="C49" s="11">
        <v>0.2</v>
      </c>
      <c r="F49" s="11">
        <v>0.2</v>
      </c>
    </row>
    <row r="50" spans="2:8" x14ac:dyDescent="0.3">
      <c r="B50" s="4" t="s">
        <v>53</v>
      </c>
      <c r="C50" s="11">
        <v>0</v>
      </c>
      <c r="F50" s="11">
        <v>0</v>
      </c>
    </row>
    <row r="51" spans="2:8" x14ac:dyDescent="0.3">
      <c r="B51" s="4" t="s">
        <v>54</v>
      </c>
      <c r="C51" s="7">
        <v>6</v>
      </c>
      <c r="F51" s="7">
        <v>6</v>
      </c>
    </row>
    <row r="52" spans="2:8" x14ac:dyDescent="0.3">
      <c r="B52" s="4" t="s">
        <v>55</v>
      </c>
      <c r="C52" s="9">
        <v>6.4999999999999997E-3</v>
      </c>
      <c r="F52" s="9">
        <v>6.7999999999999996E-3</v>
      </c>
    </row>
    <row r="55" spans="2:8" x14ac:dyDescent="0.3">
      <c r="B55" s="73" t="s">
        <v>56</v>
      </c>
      <c r="C55" s="73"/>
      <c r="D55" s="73"/>
      <c r="E55" s="73"/>
      <c r="F55" s="73"/>
    </row>
    <row r="56" spans="2:8" x14ac:dyDescent="0.3">
      <c r="C56" s="72" t="s">
        <v>57</v>
      </c>
      <c r="D56" s="72"/>
      <c r="E56" s="72" t="s">
        <v>58</v>
      </c>
      <c r="F56" s="72"/>
      <c r="G56" s="72" t="s">
        <v>59</v>
      </c>
      <c r="H56" s="72"/>
    </row>
    <row r="57" spans="2:8" x14ac:dyDescent="0.3">
      <c r="B57" s="4" t="s">
        <v>60</v>
      </c>
      <c r="C57" s="9">
        <v>1</v>
      </c>
      <c r="E57" s="9">
        <v>1.05</v>
      </c>
      <c r="G57" s="9">
        <v>0.85</v>
      </c>
    </row>
    <row r="58" spans="2:8" x14ac:dyDescent="0.3">
      <c r="B58" s="4" t="s">
        <v>61</v>
      </c>
      <c r="C58" s="9">
        <v>1</v>
      </c>
      <c r="E58" s="9">
        <v>0.95</v>
      </c>
      <c r="G58" s="9">
        <v>1.1499999999999999</v>
      </c>
    </row>
    <row r="59" spans="2:8" x14ac:dyDescent="0.3">
      <c r="B59" s="4" t="s">
        <v>62</v>
      </c>
      <c r="C59" s="9">
        <v>1</v>
      </c>
      <c r="E59" s="9">
        <v>1.1000000000000001</v>
      </c>
      <c r="G59" s="9">
        <v>0.8</v>
      </c>
    </row>
    <row r="60" spans="2:8" x14ac:dyDescent="0.3">
      <c r="B60" s="4" t="s">
        <v>63</v>
      </c>
      <c r="C60" s="7">
        <v>0</v>
      </c>
      <c r="E60" s="7">
        <v>0</v>
      </c>
      <c r="G60" s="7">
        <v>36</v>
      </c>
    </row>
    <row r="61" spans="2:8" x14ac:dyDescent="0.3">
      <c r="B61" s="4" t="s">
        <v>64</v>
      </c>
      <c r="C61" s="8">
        <v>0</v>
      </c>
      <c r="E61" s="8">
        <v>0</v>
      </c>
      <c r="G61" s="8">
        <v>500000</v>
      </c>
    </row>
    <row r="64" spans="2:8" x14ac:dyDescent="0.3">
      <c r="B64" s="73" t="s">
        <v>65</v>
      </c>
      <c r="C64" s="73"/>
      <c r="D64" s="73"/>
      <c r="E64" s="73"/>
      <c r="F64" s="73"/>
    </row>
    <row r="65" spans="2:3" x14ac:dyDescent="0.3">
      <c r="B65" s="4" t="s">
        <v>66</v>
      </c>
      <c r="C65" s="13">
        <f>IF($C$6=1,C57,IF($C$6=2,E57,G57))</f>
        <v>1</v>
      </c>
    </row>
    <row r="66" spans="2:3" x14ac:dyDescent="0.3">
      <c r="B66" s="4" t="s">
        <v>67</v>
      </c>
      <c r="C66" s="13">
        <f>IF($C$6=1,C58,IF($C$6=2,E58,G58))</f>
        <v>1</v>
      </c>
    </row>
    <row r="67" spans="2:3" x14ac:dyDescent="0.3">
      <c r="B67" s="4" t="s">
        <v>68</v>
      </c>
      <c r="C67" s="13">
        <f>IF($C$6=1,C59,IF($C$6=2,E59,G59))</f>
        <v>1</v>
      </c>
    </row>
    <row r="68" spans="2:3" x14ac:dyDescent="0.3">
      <c r="B68" s="4" t="s">
        <v>69</v>
      </c>
      <c r="C68" s="14">
        <f>IF($C$6=1,C60,IF($C$6=2,E60,G60))</f>
        <v>0</v>
      </c>
    </row>
    <row r="69" spans="2:3" x14ac:dyDescent="0.3">
      <c r="B69" s="4" t="s">
        <v>70</v>
      </c>
      <c r="C69" s="15">
        <f>IF($C$6=1,C61,IF($C$6=2,E61,G61))</f>
        <v>0</v>
      </c>
    </row>
    <row r="71" spans="2:3" x14ac:dyDescent="0.3">
      <c r="B71" s="4" t="s">
        <v>71</v>
      </c>
      <c r="C71" s="15">
        <f>IF($C$5=1,C13,F13)</f>
        <v>72000000</v>
      </c>
    </row>
    <row r="72" spans="2:3" x14ac:dyDescent="0.3">
      <c r="B72" s="4" t="s">
        <v>72</v>
      </c>
      <c r="C72" s="13">
        <f>IF($C$5=1,C14,F14)*C65</f>
        <v>7.7999999999999996E-3</v>
      </c>
    </row>
    <row r="73" spans="2:3" x14ac:dyDescent="0.3">
      <c r="B73" s="4" t="s">
        <v>73</v>
      </c>
      <c r="C73" s="15">
        <f>C71*C72</f>
        <v>561600</v>
      </c>
    </row>
    <row r="74" spans="2:3" x14ac:dyDescent="0.3">
      <c r="B74" s="4" t="s">
        <v>74</v>
      </c>
      <c r="C74" s="14">
        <f>IF($C$5=1,C16,F16)</f>
        <v>120</v>
      </c>
    </row>
    <row r="75" spans="2:3" x14ac:dyDescent="0.3">
      <c r="B75" s="4" t="s">
        <v>75</v>
      </c>
      <c r="C75" s="16">
        <f>IF($C$5=1,C24,F24)</f>
        <v>0.75</v>
      </c>
    </row>
    <row r="76" spans="2:3" x14ac:dyDescent="0.3">
      <c r="B76" s="4" t="s">
        <v>76</v>
      </c>
      <c r="C76" s="15">
        <f>C71*C75</f>
        <v>54000000</v>
      </c>
    </row>
    <row r="77" spans="2:3" x14ac:dyDescent="0.3">
      <c r="B77" s="4" t="s">
        <v>77</v>
      </c>
      <c r="C77" s="13">
        <f>IF($C$5=1,C26,F26)</f>
        <v>5.5E-2</v>
      </c>
    </row>
    <row r="78" spans="2:3" x14ac:dyDescent="0.3">
      <c r="B78" s="4" t="s">
        <v>78</v>
      </c>
      <c r="C78" s="14">
        <f>IF($C$5=1,C27,F27)</f>
        <v>120</v>
      </c>
    </row>
    <row r="79" spans="2:3" x14ac:dyDescent="0.3">
      <c r="B79" s="4" t="s">
        <v>79</v>
      </c>
      <c r="C79" s="16">
        <f>IF($C$5=1,C28,F28)</f>
        <v>0.2</v>
      </c>
    </row>
    <row r="80" spans="2:3" x14ac:dyDescent="0.3">
      <c r="B80" s="4" t="s">
        <v>80</v>
      </c>
      <c r="C80" s="13">
        <f>IF($C$5=1,C46,F46)</f>
        <v>3.5000000000000003E-2</v>
      </c>
    </row>
    <row r="81" spans="2:3" x14ac:dyDescent="0.3">
      <c r="B81" s="4" t="s">
        <v>81</v>
      </c>
      <c r="C81" s="16">
        <f>IF($C$5=1,IF($C$6=1,C48,IF($C$6=2,C50,C49)),IF($C$6=1,F48,IF($C$6=2,F50,F49)))</f>
        <v>0.05</v>
      </c>
    </row>
    <row r="82" spans="2:3" x14ac:dyDescent="0.3">
      <c r="B82" s="4" t="s">
        <v>82</v>
      </c>
      <c r="C82" s="15">
        <f>IF($C$5=1,SUM(C35:C40),SUM(F35:F40))*C66</f>
        <v>1030000</v>
      </c>
    </row>
    <row r="83" spans="2:3" x14ac:dyDescent="0.3">
      <c r="B83" s="4" t="s">
        <v>83</v>
      </c>
      <c r="C83" s="13">
        <f>IF($C$5=1,C41,F41)</f>
        <v>2.5000000000000001E-2</v>
      </c>
    </row>
    <row r="84" spans="2:3" x14ac:dyDescent="0.3">
      <c r="B84" s="4" t="s">
        <v>84</v>
      </c>
      <c r="C84" s="17">
        <f>IF($C$5=1,C30,F30)</f>
        <v>1.25</v>
      </c>
    </row>
    <row r="85" spans="2:3" x14ac:dyDescent="0.3">
      <c r="B85" s="4" t="s">
        <v>85</v>
      </c>
      <c r="C85" s="14">
        <f>IF($C$5=1,C51,F51)</f>
        <v>6</v>
      </c>
    </row>
    <row r="86" spans="2:3" x14ac:dyDescent="0.3">
      <c r="B86" s="4" t="s">
        <v>86</v>
      </c>
      <c r="C86" s="13">
        <f>IF($C$5=1,C52,F52)</f>
        <v>6.4999999999999997E-3</v>
      </c>
    </row>
    <row r="87" spans="2:3" x14ac:dyDescent="0.3">
      <c r="B87" s="4" t="s">
        <v>87</v>
      </c>
      <c r="C87" s="13">
        <f>IF($C$5=1,C29,F29)</f>
        <v>0.01</v>
      </c>
    </row>
  </sheetData>
  <mergeCells count="12">
    <mergeCell ref="A1:G1"/>
    <mergeCell ref="A2:G2"/>
    <mergeCell ref="B4:F4"/>
    <mergeCell ref="B8:F8"/>
    <mergeCell ref="B22:F22"/>
    <mergeCell ref="G56:H56"/>
    <mergeCell ref="B64:F64"/>
    <mergeCell ref="B33:F33"/>
    <mergeCell ref="B44:F44"/>
    <mergeCell ref="B55:F55"/>
    <mergeCell ref="C56:D56"/>
    <mergeCell ref="E56:F5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K157"/>
  <sheetViews>
    <sheetView showGridLines="0" tabSelected="1" zoomScaleNormal="100" workbookViewId="0">
      <selection sqref="A1:J1"/>
    </sheetView>
  </sheetViews>
  <sheetFormatPr defaultColWidth="8.6640625" defaultRowHeight="14.4" x14ac:dyDescent="0.3"/>
  <cols>
    <col min="1" max="1" width="3" customWidth="1"/>
    <col min="2" max="2" width="8" customWidth="1"/>
    <col min="3" max="3" width="14" customWidth="1"/>
    <col min="4" max="8" width="16" customWidth="1"/>
    <col min="9" max="10" width="14" customWidth="1"/>
  </cols>
  <sheetData>
    <row r="1" spans="1:11" ht="30" customHeight="1" x14ac:dyDescent="0.3">
      <c r="A1" s="68" t="s">
        <v>88</v>
      </c>
      <c r="B1" s="68"/>
      <c r="C1" s="68"/>
      <c r="D1" s="68"/>
      <c r="E1" s="68"/>
      <c r="F1" s="68"/>
      <c r="G1" s="68"/>
      <c r="H1" s="68"/>
      <c r="I1" s="68"/>
      <c r="J1" s="68"/>
    </row>
    <row r="3" spans="1:11" x14ac:dyDescent="0.3">
      <c r="B3" s="69" t="s">
        <v>89</v>
      </c>
      <c r="C3" s="69"/>
      <c r="D3" s="69" t="s">
        <v>90</v>
      </c>
      <c r="E3" s="69"/>
      <c r="F3" s="2" t="s">
        <v>91</v>
      </c>
      <c r="H3" s="2" t="s">
        <v>92</v>
      </c>
      <c r="J3" s="2" t="s">
        <v>93</v>
      </c>
    </row>
    <row r="4" spans="1:11" x14ac:dyDescent="0.3">
      <c r="B4" s="70">
        <f>Inputs!C76</f>
        <v>54000000</v>
      </c>
      <c r="C4" s="70"/>
      <c r="D4" s="71">
        <f>Inputs!C77</f>
        <v>5.5E-2</v>
      </c>
      <c r="E4" s="71"/>
      <c r="F4" s="18">
        <f>Inputs!C78</f>
        <v>120</v>
      </c>
      <c r="H4" s="19">
        <f>Inputs!C79</f>
        <v>0.2</v>
      </c>
      <c r="J4" s="1">
        <f>Inputs!C87</f>
        <v>0.01</v>
      </c>
    </row>
    <row r="6" spans="1:11" x14ac:dyDescent="0.3">
      <c r="B6" s="20" t="s">
        <v>94</v>
      </c>
      <c r="C6" s="21">
        <f>Inputs!C76*Inputs!C79</f>
        <v>10800000</v>
      </c>
    </row>
    <row r="7" spans="1:11" x14ac:dyDescent="0.3">
      <c r="B7" s="20" t="s">
        <v>95</v>
      </c>
      <c r="C7" s="22">
        <f>Inputs!C77/12</f>
        <v>4.5833333333333334E-3</v>
      </c>
    </row>
    <row r="8" spans="1:11" x14ac:dyDescent="0.3">
      <c r="B8" s="20" t="s">
        <v>96</v>
      </c>
      <c r="C8" s="21">
        <f>IFERROR(PMT(C7,Inputs!C78,-(Inputs!C76-C6),-C6,0),0)</f>
        <v>536541.90098659589</v>
      </c>
    </row>
    <row r="9" spans="1:11" x14ac:dyDescent="0.3">
      <c r="B9" s="20" t="s">
        <v>97</v>
      </c>
      <c r="C9" s="21">
        <f>Inputs!C76*Inputs!C87</f>
        <v>540000</v>
      </c>
    </row>
    <row r="11" spans="1:11" ht="27.75" customHeight="1" x14ac:dyDescent="0.3">
      <c r="B11" s="23" t="s">
        <v>98</v>
      </c>
      <c r="C11" s="23" t="s">
        <v>99</v>
      </c>
      <c r="D11" s="23" t="s">
        <v>100</v>
      </c>
      <c r="E11" s="23" t="s">
        <v>101</v>
      </c>
      <c r="F11" s="23" t="s">
        <v>102</v>
      </c>
      <c r="G11" s="23" t="s">
        <v>103</v>
      </c>
      <c r="H11" s="23" t="s">
        <v>104</v>
      </c>
      <c r="I11" s="23" t="s">
        <v>105</v>
      </c>
      <c r="J11" s="23" t="s">
        <v>106</v>
      </c>
      <c r="K11" s="23" t="s">
        <v>107</v>
      </c>
    </row>
    <row r="12" spans="1:11" x14ac:dyDescent="0.3">
      <c r="B12" s="24">
        <v>0</v>
      </c>
      <c r="C12" s="25">
        <f>DATE(2024,1,1)</f>
        <v>45292</v>
      </c>
      <c r="D12" s="26">
        <f>Inputs!C76</f>
        <v>54000000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</row>
    <row r="13" spans="1:11" x14ac:dyDescent="0.3">
      <c r="B13" s="28">
        <v>1</v>
      </c>
      <c r="C13" s="29">
        <f>EDATE($C$12,1)</f>
        <v>45323</v>
      </c>
      <c r="D13" s="30">
        <f>IF(1&gt;Inputs!$C$78,0,D12)</f>
        <v>54000000</v>
      </c>
      <c r="E13" s="30">
        <f t="shared" ref="E13:E44" si="0">IF(D13=0,0,MIN($C$8,D13+F13))</f>
        <v>536541.90098659589</v>
      </c>
      <c r="F13" s="30">
        <f t="shared" ref="F13:F44" si="1">IF(D13=0,0,D13*$C$7)</f>
        <v>247500</v>
      </c>
      <c r="G13" s="30">
        <f t="shared" ref="G13:G44" si="2">IF(D13=0,0,E13-F13)</f>
        <v>289041.90098659589</v>
      </c>
      <c r="H13" s="30">
        <f>IF(1=Inputs!$C$78,$C$6,0)</f>
        <v>0</v>
      </c>
      <c r="I13" s="30">
        <f t="shared" ref="I13:I44" si="3">IF(D13=0,0,E13+H13)</f>
        <v>536541.90098659589</v>
      </c>
      <c r="J13" s="30">
        <f t="shared" ref="J13:J44" si="4">IF(D13=0,0,MAX(0,D13-G13-H13))</f>
        <v>53710958.099013403</v>
      </c>
      <c r="K13" s="31">
        <f>IF(D13=0,0,I13/Inputs!$C$71*(1-Inputs!$C$80)^(1/12))</f>
        <v>7.4298792666941445E-3</v>
      </c>
    </row>
    <row r="14" spans="1:11" x14ac:dyDescent="0.3">
      <c r="B14" s="32">
        <v>2</v>
      </c>
      <c r="C14" s="33">
        <f>EDATE($C$12,2)</f>
        <v>45352</v>
      </c>
      <c r="D14" s="34">
        <f>IF(2&gt;Inputs!$C$78,0,J13)</f>
        <v>53710958.099013403</v>
      </c>
      <c r="E14" s="34">
        <f t="shared" si="0"/>
        <v>536541.90098659589</v>
      </c>
      <c r="F14" s="34">
        <f t="shared" si="1"/>
        <v>246175.22462047811</v>
      </c>
      <c r="G14" s="34">
        <f t="shared" si="2"/>
        <v>290366.67636611778</v>
      </c>
      <c r="H14" s="34">
        <f>IF(2=Inputs!$C$78,$C$6,0)</f>
        <v>0</v>
      </c>
      <c r="I14" s="34">
        <f t="shared" si="3"/>
        <v>536541.90098659589</v>
      </c>
      <c r="J14" s="34">
        <f t="shared" si="4"/>
        <v>53420591.422647282</v>
      </c>
      <c r="K14" s="35">
        <f>IF(D14=0,0,I14/Inputs!$C$71*(1-Inputs!$C$80)^(2/12))</f>
        <v>7.4078531774729095E-3</v>
      </c>
    </row>
    <row r="15" spans="1:11" x14ac:dyDescent="0.3">
      <c r="B15" s="28">
        <v>3</v>
      </c>
      <c r="C15" s="29">
        <f>EDATE($C$12,3)</f>
        <v>45383</v>
      </c>
      <c r="D15" s="30">
        <f>IF(3&gt;Inputs!$C$78,0,J14)</f>
        <v>53420591.422647282</v>
      </c>
      <c r="E15" s="30">
        <f t="shared" si="0"/>
        <v>536541.90098659589</v>
      </c>
      <c r="F15" s="30">
        <f t="shared" si="1"/>
        <v>244844.37735380005</v>
      </c>
      <c r="G15" s="30">
        <f t="shared" si="2"/>
        <v>291697.52363279584</v>
      </c>
      <c r="H15" s="30">
        <f>IF(3=Inputs!$C$78,$C$6,0)</f>
        <v>0</v>
      </c>
      <c r="I15" s="30">
        <f t="shared" si="3"/>
        <v>536541.90098659589</v>
      </c>
      <c r="J15" s="30">
        <f t="shared" si="4"/>
        <v>53128893.899014488</v>
      </c>
      <c r="K15" s="31">
        <f>IF(D15=0,0,I15/Inputs!$C$71*(1-Inputs!$C$80)^(3/12))</f>
        <v>7.3858923852220528E-3</v>
      </c>
    </row>
    <row r="16" spans="1:11" x14ac:dyDescent="0.3">
      <c r="B16" s="32">
        <v>4</v>
      </c>
      <c r="C16" s="33">
        <f>EDATE($C$12,4)</f>
        <v>45413</v>
      </c>
      <c r="D16" s="34">
        <f>IF(4&gt;Inputs!$C$78,0,J15)</f>
        <v>53128893.899014488</v>
      </c>
      <c r="E16" s="34">
        <f t="shared" si="0"/>
        <v>536541.90098659589</v>
      </c>
      <c r="F16" s="34">
        <f t="shared" si="1"/>
        <v>243507.43037048308</v>
      </c>
      <c r="G16" s="34">
        <f t="shared" si="2"/>
        <v>293034.47061611281</v>
      </c>
      <c r="H16" s="34">
        <f>IF(4=Inputs!$C$78,$C$6,0)</f>
        <v>0</v>
      </c>
      <c r="I16" s="34">
        <f t="shared" si="3"/>
        <v>536541.90098659589</v>
      </c>
      <c r="J16" s="34">
        <f t="shared" si="4"/>
        <v>52835859.428398378</v>
      </c>
      <c r="K16" s="35">
        <f>IF(D16=0,0,I16/Inputs!$C$71*(1-Inputs!$C$80)^(4/12))</f>
        <v>7.3639966963668386E-3</v>
      </c>
    </row>
    <row r="17" spans="2:11" x14ac:dyDescent="0.3">
      <c r="B17" s="28">
        <v>5</v>
      </c>
      <c r="C17" s="29">
        <f>EDATE($C$12,5)</f>
        <v>45444</v>
      </c>
      <c r="D17" s="30">
        <f>IF(5&gt;Inputs!$C$78,0,J16)</f>
        <v>52835859.428398378</v>
      </c>
      <c r="E17" s="30">
        <f t="shared" si="0"/>
        <v>536541.90098659589</v>
      </c>
      <c r="F17" s="30">
        <f t="shared" si="1"/>
        <v>242164.35571349258</v>
      </c>
      <c r="G17" s="30">
        <f t="shared" si="2"/>
        <v>294377.54527310329</v>
      </c>
      <c r="H17" s="30">
        <f>IF(5=Inputs!$C$78,$C$6,0)</f>
        <v>0</v>
      </c>
      <c r="I17" s="30">
        <f t="shared" si="3"/>
        <v>536541.90098659589</v>
      </c>
      <c r="J17" s="30">
        <f t="shared" si="4"/>
        <v>52541481.883125275</v>
      </c>
      <c r="K17" s="31">
        <f>IF(D17=0,0,I17/Inputs!$C$71*(1-Inputs!$C$80)^(5/12))</f>
        <v>7.3421659179063936E-3</v>
      </c>
    </row>
    <row r="18" spans="2:11" x14ac:dyDescent="0.3">
      <c r="B18" s="32">
        <v>6</v>
      </c>
      <c r="C18" s="33">
        <f>EDATE($C$12,6)</f>
        <v>45474</v>
      </c>
      <c r="D18" s="34">
        <f>IF(6&gt;Inputs!$C$78,0,J17)</f>
        <v>52541481.883125275</v>
      </c>
      <c r="E18" s="34">
        <f t="shared" si="0"/>
        <v>536541.90098659589</v>
      </c>
      <c r="F18" s="34">
        <f t="shared" si="1"/>
        <v>240815.12529765751</v>
      </c>
      <c r="G18" s="34">
        <f t="shared" si="2"/>
        <v>295726.77568893839</v>
      </c>
      <c r="H18" s="34">
        <f>IF(6=Inputs!$C$78,$C$6,0)</f>
        <v>0</v>
      </c>
      <c r="I18" s="34">
        <f t="shared" si="3"/>
        <v>536541.90098659589</v>
      </c>
      <c r="J18" s="34">
        <f t="shared" si="4"/>
        <v>52245755.107436337</v>
      </c>
      <c r="K18" s="35">
        <f>IF(D18=0,0,I18/Inputs!$C$71*(1-Inputs!$C$80)^(6/12))</f>
        <v>7.3203998574119982E-3</v>
      </c>
    </row>
    <row r="19" spans="2:11" x14ac:dyDescent="0.3">
      <c r="B19" s="28">
        <v>7</v>
      </c>
      <c r="C19" s="29">
        <f>EDATE($C$12,7)</f>
        <v>45505</v>
      </c>
      <c r="D19" s="30">
        <f>IF(7&gt;Inputs!$C$78,0,J18)</f>
        <v>52245755.107436337</v>
      </c>
      <c r="E19" s="30">
        <f t="shared" si="0"/>
        <v>536541.90098659589</v>
      </c>
      <c r="F19" s="30">
        <f t="shared" si="1"/>
        <v>239459.71090908322</v>
      </c>
      <c r="G19" s="30">
        <f t="shared" si="2"/>
        <v>297082.19007751264</v>
      </c>
      <c r="H19" s="30">
        <f>IF(7=Inputs!$C$78,$C$6,0)</f>
        <v>0</v>
      </c>
      <c r="I19" s="30">
        <f t="shared" si="3"/>
        <v>536541.90098659589</v>
      </c>
      <c r="J19" s="30">
        <f t="shared" si="4"/>
        <v>51948672.917358823</v>
      </c>
      <c r="K19" s="31">
        <f>IF(D19=0,0,I19/Inputs!$C$71*(1-Inputs!$C$80)^(7/12))</f>
        <v>7.2986983230253957E-3</v>
      </c>
    </row>
    <row r="20" spans="2:11" x14ac:dyDescent="0.3">
      <c r="B20" s="32">
        <v>8</v>
      </c>
      <c r="C20" s="33">
        <f>EDATE($C$12,8)</f>
        <v>45536</v>
      </c>
      <c r="D20" s="34">
        <f>IF(8&gt;Inputs!$C$78,0,J19)</f>
        <v>51948672.917358823</v>
      </c>
      <c r="E20" s="34">
        <f t="shared" si="0"/>
        <v>536541.90098659589</v>
      </c>
      <c r="F20" s="34">
        <f t="shared" si="1"/>
        <v>238098.08420456128</v>
      </c>
      <c r="G20" s="34">
        <f t="shared" si="2"/>
        <v>298443.81678203458</v>
      </c>
      <c r="H20" s="34">
        <f>IF(8=Inputs!$C$78,$C$6,0)</f>
        <v>0</v>
      </c>
      <c r="I20" s="34">
        <f t="shared" si="3"/>
        <v>536541.90098659589</v>
      </c>
      <c r="J20" s="34">
        <f t="shared" si="4"/>
        <v>51650229.100576788</v>
      </c>
      <c r="K20" s="35">
        <f>IF(D20=0,0,I20/Inputs!$C$71*(1-Inputs!$C$80)^(8/12))</f>
        <v>7.2770611234570948E-3</v>
      </c>
    </row>
    <row r="21" spans="2:11" x14ac:dyDescent="0.3">
      <c r="B21" s="28">
        <v>9</v>
      </c>
      <c r="C21" s="29">
        <f>EDATE($C$12,9)</f>
        <v>45566</v>
      </c>
      <c r="D21" s="30">
        <f>IF(9&gt;Inputs!$C$78,0,J20)</f>
        <v>51650229.100576788</v>
      </c>
      <c r="E21" s="30">
        <f t="shared" si="0"/>
        <v>536541.90098659589</v>
      </c>
      <c r="F21" s="30">
        <f t="shared" si="1"/>
        <v>236730.21671097694</v>
      </c>
      <c r="G21" s="30">
        <f t="shared" si="2"/>
        <v>299811.68427561899</v>
      </c>
      <c r="H21" s="30">
        <f>IF(9=Inputs!$C$78,$C$6,0)</f>
        <v>0</v>
      </c>
      <c r="I21" s="30">
        <f t="shared" si="3"/>
        <v>536541.90098659589</v>
      </c>
      <c r="J21" s="30">
        <f t="shared" si="4"/>
        <v>51350417.416301169</v>
      </c>
      <c r="K21" s="31">
        <f>IF(D21=0,0,I21/Inputs!$C$71*(1-Inputs!$C$80)^(9/12))</f>
        <v>7.2554880679846934E-3</v>
      </c>
    </row>
    <row r="22" spans="2:11" x14ac:dyDescent="0.3">
      <c r="B22" s="32">
        <v>10</v>
      </c>
      <c r="C22" s="33">
        <f>EDATE($C$12,10)</f>
        <v>45597</v>
      </c>
      <c r="D22" s="34">
        <f>IF(10&gt;Inputs!$C$78,0,J21)</f>
        <v>51350417.416301169</v>
      </c>
      <c r="E22" s="34">
        <f t="shared" si="0"/>
        <v>536541.90098659589</v>
      </c>
      <c r="F22" s="34">
        <f t="shared" si="1"/>
        <v>235356.0798247137</v>
      </c>
      <c r="G22" s="34">
        <f t="shared" si="2"/>
        <v>301185.8211618822</v>
      </c>
      <c r="H22" s="34">
        <f>IF(10=Inputs!$C$78,$C$6,0)</f>
        <v>0</v>
      </c>
      <c r="I22" s="34">
        <f t="shared" si="3"/>
        <v>536541.90098659589</v>
      </c>
      <c r="J22" s="34">
        <f t="shared" si="4"/>
        <v>51049231.595139287</v>
      </c>
      <c r="K22" s="35">
        <f>IF(D22=0,0,I22/Inputs!$C$71*(1-Inputs!$C$80)^(10/12))</f>
        <v>7.233978966451185E-3</v>
      </c>
    </row>
    <row r="23" spans="2:11" x14ac:dyDescent="0.3">
      <c r="B23" s="28">
        <v>11</v>
      </c>
      <c r="C23" s="29">
        <f>EDATE($C$12,11)</f>
        <v>45627</v>
      </c>
      <c r="D23" s="30">
        <f>IF(11&gt;Inputs!$C$78,0,J22)</f>
        <v>51049231.595139287</v>
      </c>
      <c r="E23" s="30">
        <f t="shared" si="0"/>
        <v>536541.90098659589</v>
      </c>
      <c r="F23" s="30">
        <f t="shared" si="1"/>
        <v>233975.64481105507</v>
      </c>
      <c r="G23" s="30">
        <f t="shared" si="2"/>
        <v>302566.25617554085</v>
      </c>
      <c r="H23" s="30">
        <f>IF(11=Inputs!$C$78,$C$6,0)</f>
        <v>0</v>
      </c>
      <c r="I23" s="30">
        <f t="shared" si="3"/>
        <v>536541.90098659589</v>
      </c>
      <c r="J23" s="30">
        <f t="shared" si="4"/>
        <v>50746665.338963747</v>
      </c>
      <c r="K23" s="31">
        <f>IF(D23=0,0,I23/Inputs!$C$71*(1-Inputs!$C$80)^(11/12))</f>
        <v>7.2125336292632918E-3</v>
      </c>
    </row>
    <row r="24" spans="2:11" x14ac:dyDescent="0.3">
      <c r="B24" s="32">
        <v>12</v>
      </c>
      <c r="C24" s="33">
        <f>EDATE($C$12,12)</f>
        <v>45658</v>
      </c>
      <c r="D24" s="34">
        <f>IF(12&gt;Inputs!$C$78,0,J23)</f>
        <v>50746665.338963747</v>
      </c>
      <c r="E24" s="34">
        <f t="shared" si="0"/>
        <v>536541.90098659589</v>
      </c>
      <c r="F24" s="34">
        <f t="shared" si="1"/>
        <v>232588.88280358384</v>
      </c>
      <c r="G24" s="34">
        <f t="shared" si="2"/>
        <v>303953.01818301203</v>
      </c>
      <c r="H24" s="34">
        <f>IF(12=Inputs!$C$78,$C$6,0)</f>
        <v>0</v>
      </c>
      <c r="I24" s="34">
        <f t="shared" si="3"/>
        <v>536541.90098659589</v>
      </c>
      <c r="J24" s="34">
        <f t="shared" si="4"/>
        <v>50442712.320780732</v>
      </c>
      <c r="K24" s="35">
        <f>IF(D24=0,0,I24/Inputs!$C$71*(1-Inputs!$C$80)^(12/12))</f>
        <v>7.1911518673897917E-3</v>
      </c>
    </row>
    <row r="25" spans="2:11" x14ac:dyDescent="0.3">
      <c r="B25" s="28">
        <v>13</v>
      </c>
      <c r="C25" s="29">
        <f>EDATE($C$12,13)</f>
        <v>45689</v>
      </c>
      <c r="D25" s="30">
        <f>IF(13&gt;Inputs!$C$78,0,J24)</f>
        <v>50442712.320780732</v>
      </c>
      <c r="E25" s="30">
        <f t="shared" si="0"/>
        <v>536541.90098659589</v>
      </c>
      <c r="F25" s="30">
        <f t="shared" si="1"/>
        <v>231195.76480357835</v>
      </c>
      <c r="G25" s="30">
        <f t="shared" si="2"/>
        <v>305346.13618301752</v>
      </c>
      <c r="H25" s="30">
        <f>IF(13=Inputs!$C$78,$C$6,0)</f>
        <v>0</v>
      </c>
      <c r="I25" s="30">
        <f t="shared" si="3"/>
        <v>536541.90098659589</v>
      </c>
      <c r="J25" s="30">
        <f t="shared" si="4"/>
        <v>50137366.184597716</v>
      </c>
      <c r="K25" s="31">
        <f>IF(D25=0,0,I25/Inputs!$C$71*(1-Inputs!$C$80)^(13/12))</f>
        <v>7.1698334923598495E-3</v>
      </c>
    </row>
    <row r="26" spans="2:11" x14ac:dyDescent="0.3">
      <c r="B26" s="32">
        <v>14</v>
      </c>
      <c r="C26" s="33">
        <f>EDATE($C$12,14)</f>
        <v>45717</v>
      </c>
      <c r="D26" s="34">
        <f>IF(14&gt;Inputs!$C$78,0,J25)</f>
        <v>50137366.184597716</v>
      </c>
      <c r="E26" s="34">
        <f t="shared" si="0"/>
        <v>536541.90098659589</v>
      </c>
      <c r="F26" s="34">
        <f t="shared" si="1"/>
        <v>229796.26167940619</v>
      </c>
      <c r="G26" s="34">
        <f t="shared" si="2"/>
        <v>306745.63930718973</v>
      </c>
      <c r="H26" s="34">
        <f>IF(14=Inputs!$C$78,$C$6,0)</f>
        <v>0</v>
      </c>
      <c r="I26" s="34">
        <f t="shared" si="3"/>
        <v>536541.90098659589</v>
      </c>
      <c r="J26" s="34">
        <f t="shared" si="4"/>
        <v>49830620.54529053</v>
      </c>
      <c r="K26" s="35">
        <f>IF(D26=0,0,I26/Inputs!$C$71*(1-Inputs!$C$80)^(14/12))</f>
        <v>7.1485783162613583E-3</v>
      </c>
    </row>
    <row r="27" spans="2:11" x14ac:dyDescent="0.3">
      <c r="B27" s="28">
        <v>15</v>
      </c>
      <c r="C27" s="29">
        <f>EDATE($C$12,15)</f>
        <v>45748</v>
      </c>
      <c r="D27" s="30">
        <f>IF(15&gt;Inputs!$C$78,0,J26)</f>
        <v>49830620.54529053</v>
      </c>
      <c r="E27" s="30">
        <f t="shared" si="0"/>
        <v>536541.90098659589</v>
      </c>
      <c r="F27" s="30">
        <f t="shared" si="1"/>
        <v>228390.34416591492</v>
      </c>
      <c r="G27" s="30">
        <f t="shared" si="2"/>
        <v>308151.55682068097</v>
      </c>
      <c r="H27" s="30">
        <f>IF(15=Inputs!$C$78,$C$6,0)</f>
        <v>0</v>
      </c>
      <c r="I27" s="30">
        <f t="shared" si="3"/>
        <v>536541.90098659589</v>
      </c>
      <c r="J27" s="30">
        <f t="shared" si="4"/>
        <v>49522468.988469847</v>
      </c>
      <c r="K27" s="31">
        <f>IF(D27=0,0,I27/Inputs!$C$71*(1-Inputs!$C$80)^(15/12))</f>
        <v>7.1273861517392803E-3</v>
      </c>
    </row>
    <row r="28" spans="2:11" x14ac:dyDescent="0.3">
      <c r="B28" s="32">
        <v>16</v>
      </c>
      <c r="C28" s="33">
        <f>EDATE($C$12,16)</f>
        <v>45778</v>
      </c>
      <c r="D28" s="34">
        <f>IF(16&gt;Inputs!$C$78,0,J27)</f>
        <v>49522468.988469847</v>
      </c>
      <c r="E28" s="34">
        <f t="shared" si="0"/>
        <v>536541.90098659589</v>
      </c>
      <c r="F28" s="34">
        <f t="shared" si="1"/>
        <v>226977.98286382013</v>
      </c>
      <c r="G28" s="34">
        <f t="shared" si="2"/>
        <v>309563.91812277574</v>
      </c>
      <c r="H28" s="34">
        <f>IF(16=Inputs!$C$78,$C$6,0)</f>
        <v>0</v>
      </c>
      <c r="I28" s="34">
        <f t="shared" si="3"/>
        <v>536541.90098659589</v>
      </c>
      <c r="J28" s="34">
        <f t="shared" si="4"/>
        <v>49212905.070347071</v>
      </c>
      <c r="K28" s="35">
        <f>IF(D28=0,0,I28/Inputs!$C$71*(1-Inputs!$C$80)^(16/12))</f>
        <v>7.106256811993999E-3</v>
      </c>
    </row>
    <row r="29" spans="2:11" x14ac:dyDescent="0.3">
      <c r="B29" s="28">
        <v>17</v>
      </c>
      <c r="C29" s="29">
        <f>EDATE($C$12,17)</f>
        <v>45809</v>
      </c>
      <c r="D29" s="30">
        <f>IF(17&gt;Inputs!$C$78,0,J28)</f>
        <v>49212905.070347071</v>
      </c>
      <c r="E29" s="30">
        <f t="shared" si="0"/>
        <v>536541.90098659589</v>
      </c>
      <c r="F29" s="30">
        <f t="shared" si="1"/>
        <v>225559.14823909075</v>
      </c>
      <c r="G29" s="30">
        <f t="shared" si="2"/>
        <v>310982.75274750515</v>
      </c>
      <c r="H29" s="30">
        <f>IF(17=Inputs!$C$78,$C$6,0)</f>
        <v>0</v>
      </c>
      <c r="I29" s="30">
        <f t="shared" si="3"/>
        <v>536541.90098659589</v>
      </c>
      <c r="J29" s="30">
        <f t="shared" si="4"/>
        <v>48901922.317599565</v>
      </c>
      <c r="K29" s="31">
        <f>IF(D29=0,0,I29/Inputs!$C$71*(1-Inputs!$C$80)^(17/12))</f>
        <v>7.0851901107796692E-3</v>
      </c>
    </row>
    <row r="30" spans="2:11" x14ac:dyDescent="0.3">
      <c r="B30" s="32">
        <v>18</v>
      </c>
      <c r="C30" s="33">
        <f>EDATE($C$12,18)</f>
        <v>45839</v>
      </c>
      <c r="D30" s="34">
        <f>IF(18&gt;Inputs!$C$78,0,J29)</f>
        <v>48901922.317599565</v>
      </c>
      <c r="E30" s="34">
        <f t="shared" si="0"/>
        <v>536541.90098659589</v>
      </c>
      <c r="F30" s="34">
        <f t="shared" si="1"/>
        <v>224133.81062233134</v>
      </c>
      <c r="G30" s="34">
        <f t="shared" si="2"/>
        <v>312408.09036426456</v>
      </c>
      <c r="H30" s="34">
        <f>IF(18=Inputs!$C$78,$C$6,0)</f>
        <v>0</v>
      </c>
      <c r="I30" s="34">
        <f t="shared" si="3"/>
        <v>536541.90098659589</v>
      </c>
      <c r="J30" s="34">
        <f t="shared" si="4"/>
        <v>48589514.227235302</v>
      </c>
      <c r="K30" s="35">
        <f>IF(D30=0,0,I30/Inputs!$C$71*(1-Inputs!$C$80)^(18/12))</f>
        <v>7.0641858624025779E-3</v>
      </c>
    </row>
    <row r="31" spans="2:11" x14ac:dyDescent="0.3">
      <c r="B31" s="28">
        <v>19</v>
      </c>
      <c r="C31" s="29">
        <f>EDATE($C$12,19)</f>
        <v>45870</v>
      </c>
      <c r="D31" s="30">
        <f>IF(19&gt;Inputs!$C$78,0,J30)</f>
        <v>48589514.227235302</v>
      </c>
      <c r="E31" s="30">
        <f t="shared" si="0"/>
        <v>536541.90098659589</v>
      </c>
      <c r="F31" s="30">
        <f t="shared" si="1"/>
        <v>222701.9402081618</v>
      </c>
      <c r="G31" s="30">
        <f t="shared" si="2"/>
        <v>313839.96077843406</v>
      </c>
      <c r="H31" s="30">
        <f>IF(19=Inputs!$C$78,$C$6,0)</f>
        <v>0</v>
      </c>
      <c r="I31" s="30">
        <f t="shared" si="3"/>
        <v>536541.90098659589</v>
      </c>
      <c r="J31" s="30">
        <f t="shared" si="4"/>
        <v>48275674.266456865</v>
      </c>
      <c r="K31" s="31">
        <f>IF(D31=0,0,I31/Inputs!$C$71*(1-Inputs!$C$80)^(19/12))</f>
        <v>7.0432438817195067E-3</v>
      </c>
    </row>
    <row r="32" spans="2:11" x14ac:dyDescent="0.3">
      <c r="B32" s="32">
        <v>20</v>
      </c>
      <c r="C32" s="33">
        <f>EDATE($C$12,20)</f>
        <v>45901</v>
      </c>
      <c r="D32" s="34">
        <f>IF(20&gt;Inputs!$C$78,0,J31)</f>
        <v>48275674.266456865</v>
      </c>
      <c r="E32" s="34">
        <f t="shared" si="0"/>
        <v>536541.90098659589</v>
      </c>
      <c r="F32" s="34">
        <f t="shared" si="1"/>
        <v>221263.50705459397</v>
      </c>
      <c r="G32" s="34">
        <f t="shared" si="2"/>
        <v>315278.3939320019</v>
      </c>
      <c r="H32" s="34">
        <f>IF(20=Inputs!$C$78,$C$6,0)</f>
        <v>0</v>
      </c>
      <c r="I32" s="34">
        <f t="shared" si="3"/>
        <v>536541.90098659589</v>
      </c>
      <c r="J32" s="34">
        <f t="shared" si="4"/>
        <v>47960395.872524865</v>
      </c>
      <c r="K32" s="35">
        <f>IF(D32=0,0,I32/Inputs!$C$71*(1-Inputs!$C$80)^(20/12))</f>
        <v>7.0223639841360975E-3</v>
      </c>
    </row>
    <row r="33" spans="2:11" x14ac:dyDescent="0.3">
      <c r="B33" s="28">
        <v>21</v>
      </c>
      <c r="C33" s="29">
        <f>EDATE($C$12,21)</f>
        <v>45931</v>
      </c>
      <c r="D33" s="30">
        <f>IF(21&gt;Inputs!$C$78,0,J32)</f>
        <v>47960395.872524865</v>
      </c>
      <c r="E33" s="30">
        <f t="shared" si="0"/>
        <v>536541.90098659589</v>
      </c>
      <c r="F33" s="30">
        <f t="shared" si="1"/>
        <v>219818.48108240563</v>
      </c>
      <c r="G33" s="30">
        <f t="shared" si="2"/>
        <v>316723.41990419023</v>
      </c>
      <c r="H33" s="30">
        <f>IF(21=Inputs!$C$78,$C$6,0)</f>
        <v>0</v>
      </c>
      <c r="I33" s="30">
        <f t="shared" si="3"/>
        <v>536541.90098659589</v>
      </c>
      <c r="J33" s="30">
        <f t="shared" si="4"/>
        <v>47643672.452620678</v>
      </c>
      <c r="K33" s="31">
        <f>IF(D33=0,0,I33/Inputs!$C$71*(1-Inputs!$C$80)^(21/12))</f>
        <v>7.0015459856052282E-3</v>
      </c>
    </row>
    <row r="34" spans="2:11" x14ac:dyDescent="0.3">
      <c r="B34" s="32">
        <v>22</v>
      </c>
      <c r="C34" s="33">
        <f>EDATE($C$12,22)</f>
        <v>45962</v>
      </c>
      <c r="D34" s="34">
        <f>IF(22&gt;Inputs!$C$78,0,J33)</f>
        <v>47643672.452620678</v>
      </c>
      <c r="E34" s="34">
        <f t="shared" si="0"/>
        <v>536541.90098659589</v>
      </c>
      <c r="F34" s="34">
        <f t="shared" si="1"/>
        <v>218366.83207451145</v>
      </c>
      <c r="G34" s="34">
        <f t="shared" si="2"/>
        <v>318175.06891208445</v>
      </c>
      <c r="H34" s="34">
        <f>IF(22=Inputs!$C$78,$C$6,0)</f>
        <v>0</v>
      </c>
      <c r="I34" s="34">
        <f t="shared" si="3"/>
        <v>536541.90098659589</v>
      </c>
      <c r="J34" s="34">
        <f t="shared" si="4"/>
        <v>47325497.383708596</v>
      </c>
      <c r="K34" s="35">
        <f>IF(D34=0,0,I34/Inputs!$C$71*(1-Inputs!$C$80)^(22/12))</f>
        <v>6.980789702625393E-3</v>
      </c>
    </row>
    <row r="35" spans="2:11" x14ac:dyDescent="0.3">
      <c r="B35" s="28">
        <v>23</v>
      </c>
      <c r="C35" s="29">
        <f>EDATE($C$12,23)</f>
        <v>45992</v>
      </c>
      <c r="D35" s="30">
        <f>IF(23&gt;Inputs!$C$78,0,J34)</f>
        <v>47325497.383708596</v>
      </c>
      <c r="E35" s="30">
        <f t="shared" si="0"/>
        <v>536541.90098659589</v>
      </c>
      <c r="F35" s="30">
        <f t="shared" si="1"/>
        <v>216908.52967533105</v>
      </c>
      <c r="G35" s="30">
        <f t="shared" si="2"/>
        <v>319633.37131126481</v>
      </c>
      <c r="H35" s="30">
        <f>IF(23=Inputs!$C$78,$C$6,0)</f>
        <v>0</v>
      </c>
      <c r="I35" s="30">
        <f t="shared" si="3"/>
        <v>536541.90098659589</v>
      </c>
      <c r="J35" s="30">
        <f t="shared" si="4"/>
        <v>47005864.012397334</v>
      </c>
      <c r="K35" s="31">
        <f>IF(D35=0,0,I35/Inputs!$C$71*(1-Inputs!$C$80)^(23/12))</f>
        <v>6.9600949522390758E-3</v>
      </c>
    </row>
    <row r="36" spans="2:11" x14ac:dyDescent="0.3">
      <c r="B36" s="32">
        <v>24</v>
      </c>
      <c r="C36" s="33">
        <f>EDATE($C$12,24)</f>
        <v>46023</v>
      </c>
      <c r="D36" s="34">
        <f>IF(24&gt;Inputs!$C$78,0,J35)</f>
        <v>47005864.012397334</v>
      </c>
      <c r="E36" s="34">
        <f t="shared" si="0"/>
        <v>536541.90098659589</v>
      </c>
      <c r="F36" s="34">
        <f t="shared" si="1"/>
        <v>215443.54339015446</v>
      </c>
      <c r="G36" s="34">
        <f t="shared" si="2"/>
        <v>321098.3575964414</v>
      </c>
      <c r="H36" s="34">
        <f>IF(24=Inputs!$C$78,$C$6,0)</f>
        <v>0</v>
      </c>
      <c r="I36" s="34">
        <f t="shared" si="3"/>
        <v>536541.90098659589</v>
      </c>
      <c r="J36" s="34">
        <f t="shared" si="4"/>
        <v>46684765.654800892</v>
      </c>
      <c r="K36" s="35">
        <f>IF(D36=0,0,I36/Inputs!$C$71*(1-Inputs!$C$80)^(24/12))</f>
        <v>6.9394615520311492E-3</v>
      </c>
    </row>
    <row r="37" spans="2:11" x14ac:dyDescent="0.3">
      <c r="B37" s="28">
        <v>25</v>
      </c>
      <c r="C37" s="29">
        <f>EDATE($C$12,25)</f>
        <v>46054</v>
      </c>
      <c r="D37" s="30">
        <f>IF(25&gt;Inputs!$C$78,0,J36)</f>
        <v>46684765.654800892</v>
      </c>
      <c r="E37" s="30">
        <f t="shared" si="0"/>
        <v>536541.90098659589</v>
      </c>
      <c r="F37" s="30">
        <f t="shared" si="1"/>
        <v>213971.84258450408</v>
      </c>
      <c r="G37" s="30">
        <f t="shared" si="2"/>
        <v>322570.05840209185</v>
      </c>
      <c r="H37" s="30">
        <f>IF(25=Inputs!$C$78,$C$6,0)</f>
        <v>0</v>
      </c>
      <c r="I37" s="30">
        <f t="shared" si="3"/>
        <v>536541.90098659589</v>
      </c>
      <c r="J37" s="30">
        <f t="shared" si="4"/>
        <v>46362195.596398801</v>
      </c>
      <c r="K37" s="31">
        <f>IF(D37=0,0,I37/Inputs!$C$71*(1-Inputs!$C$80)^(25/12))</f>
        <v>6.9188893201272547E-3</v>
      </c>
    </row>
    <row r="38" spans="2:11" x14ac:dyDescent="0.3">
      <c r="B38" s="32">
        <v>26</v>
      </c>
      <c r="C38" s="33">
        <f>EDATE($C$12,26)</f>
        <v>46082</v>
      </c>
      <c r="D38" s="34">
        <f>IF(26&gt;Inputs!$C$78,0,J37)</f>
        <v>46362195.596398801</v>
      </c>
      <c r="E38" s="34">
        <f t="shared" si="0"/>
        <v>536541.90098659589</v>
      </c>
      <c r="F38" s="34">
        <f t="shared" si="1"/>
        <v>212493.39648349449</v>
      </c>
      <c r="G38" s="34">
        <f t="shared" si="2"/>
        <v>324048.5045031014</v>
      </c>
      <c r="H38" s="34">
        <f>IF(26=Inputs!$C$78,$C$6,0)</f>
        <v>0</v>
      </c>
      <c r="I38" s="34">
        <f t="shared" si="3"/>
        <v>536541.90098659589</v>
      </c>
      <c r="J38" s="34">
        <f t="shared" si="4"/>
        <v>46038147.0918957</v>
      </c>
      <c r="K38" s="35">
        <f>IF(D38=0,0,I38/Inputs!$C$71*(1-Inputs!$C$80)^(26/12))</f>
        <v>6.8983780751922102E-3</v>
      </c>
    </row>
    <row r="39" spans="2:11" x14ac:dyDescent="0.3">
      <c r="B39" s="28">
        <v>27</v>
      </c>
      <c r="C39" s="29">
        <f>EDATE($C$12,27)</f>
        <v>46113</v>
      </c>
      <c r="D39" s="30">
        <f>IF(27&gt;Inputs!$C$78,0,J38)</f>
        <v>46038147.0918957</v>
      </c>
      <c r="E39" s="30">
        <f t="shared" si="0"/>
        <v>536541.90098659589</v>
      </c>
      <c r="F39" s="30">
        <f t="shared" si="1"/>
        <v>211008.17417118861</v>
      </c>
      <c r="G39" s="30">
        <f t="shared" si="2"/>
        <v>325533.72681540728</v>
      </c>
      <c r="H39" s="30">
        <f>IF(27=Inputs!$C$78,$C$6,0)</f>
        <v>0</v>
      </c>
      <c r="I39" s="30">
        <f t="shared" si="3"/>
        <v>536541.90098659589</v>
      </c>
      <c r="J39" s="30">
        <f t="shared" si="4"/>
        <v>45712613.36508029</v>
      </c>
      <c r="K39" s="31">
        <f>IF(D39=0,0,I39/Inputs!$C$71*(1-Inputs!$C$80)^(27/12))</f>
        <v>6.8779276364284055E-3</v>
      </c>
    </row>
    <row r="40" spans="2:11" x14ac:dyDescent="0.3">
      <c r="B40" s="32">
        <v>28</v>
      </c>
      <c r="C40" s="33">
        <f>EDATE($C$12,28)</f>
        <v>46143</v>
      </c>
      <c r="D40" s="34">
        <f>IF(28&gt;Inputs!$C$78,0,J39)</f>
        <v>45712613.36508029</v>
      </c>
      <c r="E40" s="34">
        <f t="shared" si="0"/>
        <v>536541.90098659589</v>
      </c>
      <c r="F40" s="34">
        <f t="shared" si="1"/>
        <v>209516.14458995132</v>
      </c>
      <c r="G40" s="34">
        <f t="shared" si="2"/>
        <v>327025.75639664457</v>
      </c>
      <c r="H40" s="34">
        <f>IF(28=Inputs!$C$78,$C$6,0)</f>
        <v>0</v>
      </c>
      <c r="I40" s="34">
        <f t="shared" si="3"/>
        <v>536541.90098659589</v>
      </c>
      <c r="J40" s="34">
        <f t="shared" si="4"/>
        <v>45385587.608683646</v>
      </c>
      <c r="K40" s="35">
        <f>IF(D40=0,0,I40/Inputs!$C$71*(1-Inputs!$C$80)^(28/12))</f>
        <v>6.8575378235742083E-3</v>
      </c>
    </row>
    <row r="41" spans="2:11" x14ac:dyDescent="0.3">
      <c r="B41" s="28">
        <v>29</v>
      </c>
      <c r="C41" s="29">
        <f>EDATE($C$12,29)</f>
        <v>46174</v>
      </c>
      <c r="D41" s="30">
        <f>IF(29&gt;Inputs!$C$78,0,J40)</f>
        <v>45385587.608683646</v>
      </c>
      <c r="E41" s="30">
        <f t="shared" si="0"/>
        <v>536541.90098659589</v>
      </c>
      <c r="F41" s="30">
        <f t="shared" si="1"/>
        <v>208017.27653980005</v>
      </c>
      <c r="G41" s="30">
        <f t="shared" si="2"/>
        <v>328524.62444679585</v>
      </c>
      <c r="H41" s="30">
        <f>IF(29=Inputs!$C$78,$C$6,0)</f>
        <v>0</v>
      </c>
      <c r="I41" s="30">
        <f t="shared" si="3"/>
        <v>536541.90098659589</v>
      </c>
      <c r="J41" s="30">
        <f t="shared" si="4"/>
        <v>45057062.984236851</v>
      </c>
      <c r="K41" s="31">
        <f>IF(D41=0,0,I41/Inputs!$C$71*(1-Inputs!$C$80)^(29/12))</f>
        <v>6.8372084569023805E-3</v>
      </c>
    </row>
    <row r="42" spans="2:11" x14ac:dyDescent="0.3">
      <c r="B42" s="32">
        <v>30</v>
      </c>
      <c r="C42" s="33">
        <f>EDATE($C$12,30)</f>
        <v>46204</v>
      </c>
      <c r="D42" s="34">
        <f>IF(30&gt;Inputs!$C$78,0,J41)</f>
        <v>45057062.984236851</v>
      </c>
      <c r="E42" s="34">
        <f t="shared" si="0"/>
        <v>536541.90098659589</v>
      </c>
      <c r="F42" s="34">
        <f t="shared" si="1"/>
        <v>206511.53867775225</v>
      </c>
      <c r="G42" s="34">
        <f t="shared" si="2"/>
        <v>330030.36230884364</v>
      </c>
      <c r="H42" s="34">
        <f>IF(30=Inputs!$C$78,$C$6,0)</f>
        <v>0</v>
      </c>
      <c r="I42" s="34">
        <f t="shared" si="3"/>
        <v>536541.90098659589</v>
      </c>
      <c r="J42" s="34">
        <f t="shared" si="4"/>
        <v>44727032.621928006</v>
      </c>
      <c r="K42" s="35">
        <f>IF(D42=0,0,I42/Inputs!$C$71*(1-Inputs!$C$80)^(30/12))</f>
        <v>6.8169393572184876E-3</v>
      </c>
    </row>
    <row r="43" spans="2:11" x14ac:dyDescent="0.3">
      <c r="B43" s="28">
        <v>31</v>
      </c>
      <c r="C43" s="29">
        <f>EDATE($C$12,31)</f>
        <v>46235</v>
      </c>
      <c r="D43" s="30">
        <f>IF(31&gt;Inputs!$C$78,0,J42)</f>
        <v>44727032.621928006</v>
      </c>
      <c r="E43" s="30">
        <f t="shared" si="0"/>
        <v>536541.90098659589</v>
      </c>
      <c r="F43" s="30">
        <f t="shared" si="1"/>
        <v>204998.89951717004</v>
      </c>
      <c r="G43" s="30">
        <f t="shared" si="2"/>
        <v>331543.00146942586</v>
      </c>
      <c r="H43" s="30">
        <f>IF(31=Inputs!$C$78,$C$6,0)</f>
        <v>0</v>
      </c>
      <c r="I43" s="30">
        <f t="shared" si="3"/>
        <v>536541.90098659589</v>
      </c>
      <c r="J43" s="30">
        <f t="shared" si="4"/>
        <v>44395489.620458581</v>
      </c>
      <c r="K43" s="31">
        <f>IF(D43=0,0,I43/Inputs!$C$71*(1-Inputs!$C$80)^(31/12))</f>
        <v>6.7967303458593238E-3</v>
      </c>
    </row>
    <row r="44" spans="2:11" x14ac:dyDescent="0.3">
      <c r="B44" s="32">
        <v>32</v>
      </c>
      <c r="C44" s="33">
        <f>EDATE($C$12,32)</f>
        <v>46266</v>
      </c>
      <c r="D44" s="34">
        <f>IF(32&gt;Inputs!$C$78,0,J43)</f>
        <v>44395489.620458581</v>
      </c>
      <c r="E44" s="34">
        <f t="shared" si="0"/>
        <v>536541.90098659589</v>
      </c>
      <c r="F44" s="34">
        <f t="shared" si="1"/>
        <v>203479.32742710182</v>
      </c>
      <c r="G44" s="34">
        <f t="shared" si="2"/>
        <v>333062.57355949411</v>
      </c>
      <c r="H44" s="34">
        <f>IF(32=Inputs!$C$78,$C$6,0)</f>
        <v>0</v>
      </c>
      <c r="I44" s="34">
        <f t="shared" si="3"/>
        <v>536541.90098659589</v>
      </c>
      <c r="J44" s="34">
        <f t="shared" si="4"/>
        <v>44062427.046899088</v>
      </c>
      <c r="K44" s="35">
        <f>IF(D44=0,0,I44/Inputs!$C$71*(1-Inputs!$C$80)^(32/12))</f>
        <v>6.7765812446913334E-3</v>
      </c>
    </row>
    <row r="45" spans="2:11" x14ac:dyDescent="0.3">
      <c r="B45" s="28">
        <v>33</v>
      </c>
      <c r="C45" s="29">
        <f>EDATE($C$12,33)</f>
        <v>46296</v>
      </c>
      <c r="D45" s="30">
        <f>IF(33&gt;Inputs!$C$78,0,J44)</f>
        <v>44062427.046899088</v>
      </c>
      <c r="E45" s="30">
        <f t="shared" ref="E45:E76" si="5">IF(D45=0,0,MIN($C$8,D45+F45))</f>
        <v>536541.90098659589</v>
      </c>
      <c r="F45" s="30">
        <f t="shared" ref="F45:F76" si="6">IF(D45=0,0,D45*$C$7)</f>
        <v>201952.79063162082</v>
      </c>
      <c r="G45" s="30">
        <f t="shared" ref="G45:G76" si="7">IF(D45=0,0,E45-F45)</f>
        <v>334589.1103549751</v>
      </c>
      <c r="H45" s="30">
        <f>IF(33=Inputs!$C$78,$C$6,0)</f>
        <v>0</v>
      </c>
      <c r="I45" s="30">
        <f t="shared" ref="I45:I76" si="8">IF(D45=0,0,E45+H45)</f>
        <v>536541.90098659589</v>
      </c>
      <c r="J45" s="30">
        <f t="shared" ref="J45:J76" si="9">IF(D45=0,0,MAX(0,D45-G45-H45))</f>
        <v>43727837.936544113</v>
      </c>
      <c r="K45" s="31">
        <f>IF(D45=0,0,I45/Inputs!$C$71*(1-Inputs!$C$80)^(33/12))</f>
        <v>6.7564918761090454E-3</v>
      </c>
    </row>
    <row r="46" spans="2:11" x14ac:dyDescent="0.3">
      <c r="B46" s="32">
        <v>34</v>
      </c>
      <c r="C46" s="33">
        <f>EDATE($C$12,34)</f>
        <v>46327</v>
      </c>
      <c r="D46" s="34">
        <f>IF(34&gt;Inputs!$C$78,0,J45)</f>
        <v>43727837.936544113</v>
      </c>
      <c r="E46" s="34">
        <f t="shared" si="5"/>
        <v>536541.90098659589</v>
      </c>
      <c r="F46" s="34">
        <f t="shared" si="6"/>
        <v>200419.25720916051</v>
      </c>
      <c r="G46" s="34">
        <f t="shared" si="7"/>
        <v>336122.64377743541</v>
      </c>
      <c r="H46" s="34">
        <f>IF(34=Inputs!$C$78,$C$6,0)</f>
        <v>0</v>
      </c>
      <c r="I46" s="34">
        <f t="shared" si="8"/>
        <v>536541.90098659589</v>
      </c>
      <c r="J46" s="34">
        <f t="shared" si="9"/>
        <v>43391715.292766675</v>
      </c>
      <c r="K46" s="35">
        <f>IF(D46=0,0,I46/Inputs!$C$71*(1-Inputs!$C$80)^(34/12))</f>
        <v>6.7364620630335041E-3</v>
      </c>
    </row>
    <row r="47" spans="2:11" x14ac:dyDescent="0.3">
      <c r="B47" s="28">
        <v>35</v>
      </c>
      <c r="C47" s="29">
        <f>EDATE($C$12,35)</f>
        <v>46357</v>
      </c>
      <c r="D47" s="30">
        <f>IF(35&gt;Inputs!$C$78,0,J46)</f>
        <v>43391715.292766675</v>
      </c>
      <c r="E47" s="30">
        <f t="shared" si="5"/>
        <v>536541.90098659589</v>
      </c>
      <c r="F47" s="30">
        <f t="shared" si="6"/>
        <v>198878.69509184727</v>
      </c>
      <c r="G47" s="30">
        <f t="shared" si="7"/>
        <v>337663.20589474862</v>
      </c>
      <c r="H47" s="30">
        <f>IF(35=Inputs!$C$78,$C$6,0)</f>
        <v>0</v>
      </c>
      <c r="I47" s="30">
        <f t="shared" si="8"/>
        <v>536541.90098659589</v>
      </c>
      <c r="J47" s="30">
        <f t="shared" si="9"/>
        <v>43054052.086871929</v>
      </c>
      <c r="K47" s="31">
        <f>IF(D47=0,0,I47/Inputs!$C$71*(1-Inputs!$C$80)^(35/12))</f>
        <v>6.7164916289107089E-3</v>
      </c>
    </row>
    <row r="48" spans="2:11" x14ac:dyDescent="0.3">
      <c r="B48" s="32">
        <v>36</v>
      </c>
      <c r="C48" s="33">
        <f>EDATE($C$12,36)</f>
        <v>46388</v>
      </c>
      <c r="D48" s="34">
        <f>IF(36&gt;Inputs!$C$78,0,J47)</f>
        <v>43054052.086871929</v>
      </c>
      <c r="E48" s="34">
        <f t="shared" si="5"/>
        <v>536541.90098659589</v>
      </c>
      <c r="F48" s="34">
        <f t="shared" si="6"/>
        <v>197331.07206482967</v>
      </c>
      <c r="G48" s="34">
        <f t="shared" si="7"/>
        <v>339210.82892176625</v>
      </c>
      <c r="H48" s="34">
        <f>IF(36=Inputs!$C$78,$C$6,0)</f>
        <v>0</v>
      </c>
      <c r="I48" s="34">
        <f t="shared" si="8"/>
        <v>536541.90098659589</v>
      </c>
      <c r="J48" s="34">
        <f t="shared" si="9"/>
        <v>42714841.257950164</v>
      </c>
      <c r="K48" s="35">
        <f>IF(D48=0,0,I48/Inputs!$C$71*(1-Inputs!$C$80)^(36/12))</f>
        <v>6.6965803977100582E-3</v>
      </c>
    </row>
    <row r="49" spans="2:11" x14ac:dyDescent="0.3">
      <c r="B49" s="28">
        <v>37</v>
      </c>
      <c r="C49" s="29">
        <f>EDATE($C$12,37)</f>
        <v>46419</v>
      </c>
      <c r="D49" s="30">
        <f>IF(37&gt;Inputs!$C$78,0,J48)</f>
        <v>42714841.257950164</v>
      </c>
      <c r="E49" s="30">
        <f t="shared" si="5"/>
        <v>536541.90098659589</v>
      </c>
      <c r="F49" s="30">
        <f t="shared" si="6"/>
        <v>195776.35576560491</v>
      </c>
      <c r="G49" s="30">
        <f t="shared" si="7"/>
        <v>340765.54522099101</v>
      </c>
      <c r="H49" s="30">
        <f>IF(37=Inputs!$C$78,$C$6,0)</f>
        <v>0</v>
      </c>
      <c r="I49" s="30">
        <f t="shared" si="8"/>
        <v>536541.90098659589</v>
      </c>
      <c r="J49" s="30">
        <f t="shared" si="9"/>
        <v>42374075.712729171</v>
      </c>
      <c r="K49" s="31">
        <f>IF(D49=0,0,I49/Inputs!$C$71*(1-Inputs!$C$80)^(37/12))</f>
        <v>6.6767281939228004E-3</v>
      </c>
    </row>
    <row r="50" spans="2:11" x14ac:dyDescent="0.3">
      <c r="B50" s="32">
        <v>38</v>
      </c>
      <c r="C50" s="33">
        <f>EDATE($C$12,38)</f>
        <v>46447</v>
      </c>
      <c r="D50" s="34">
        <f>IF(38&gt;Inputs!$C$78,0,J49)</f>
        <v>42374075.712729171</v>
      </c>
      <c r="E50" s="34">
        <f t="shared" si="5"/>
        <v>536541.90098659589</v>
      </c>
      <c r="F50" s="34">
        <f t="shared" si="6"/>
        <v>194214.51368334203</v>
      </c>
      <c r="G50" s="34">
        <f t="shared" si="7"/>
        <v>342327.38730325387</v>
      </c>
      <c r="H50" s="34">
        <f>IF(38=Inputs!$C$78,$C$6,0)</f>
        <v>0</v>
      </c>
      <c r="I50" s="34">
        <f t="shared" si="8"/>
        <v>536541.90098659589</v>
      </c>
      <c r="J50" s="34">
        <f t="shared" si="9"/>
        <v>42031748.325425915</v>
      </c>
      <c r="K50" s="35">
        <f>IF(D50=0,0,I50/Inputs!$C$71*(1-Inputs!$C$80)^(38/12))</f>
        <v>6.656934842560483E-3</v>
      </c>
    </row>
    <row r="51" spans="2:11" x14ac:dyDescent="0.3">
      <c r="B51" s="28">
        <v>39</v>
      </c>
      <c r="C51" s="29">
        <f>EDATE($C$12,39)</f>
        <v>46478</v>
      </c>
      <c r="D51" s="30">
        <f>IF(39&gt;Inputs!$C$78,0,J50)</f>
        <v>42031748.325425915</v>
      </c>
      <c r="E51" s="30">
        <f t="shared" si="5"/>
        <v>536541.90098659589</v>
      </c>
      <c r="F51" s="30">
        <f t="shared" si="6"/>
        <v>192645.51315820211</v>
      </c>
      <c r="G51" s="30">
        <f t="shared" si="7"/>
        <v>343896.38782839378</v>
      </c>
      <c r="H51" s="30">
        <f>IF(39=Inputs!$C$78,$C$6,0)</f>
        <v>0</v>
      </c>
      <c r="I51" s="30">
        <f t="shared" si="8"/>
        <v>536541.90098659589</v>
      </c>
      <c r="J51" s="30">
        <f t="shared" si="9"/>
        <v>41687851.937597521</v>
      </c>
      <c r="K51" s="31">
        <f>IF(D51=0,0,I51/Inputs!$C$71*(1-Inputs!$C$80)^(39/12))</f>
        <v>6.6372001691534111E-3</v>
      </c>
    </row>
    <row r="52" spans="2:11" x14ac:dyDescent="0.3">
      <c r="B52" s="32">
        <v>40</v>
      </c>
      <c r="C52" s="33">
        <f>EDATE($C$12,40)</f>
        <v>46508</v>
      </c>
      <c r="D52" s="34">
        <f>IF(40&gt;Inputs!$C$78,0,J51)</f>
        <v>41687851.937597521</v>
      </c>
      <c r="E52" s="34">
        <f t="shared" si="5"/>
        <v>536541.90098659589</v>
      </c>
      <c r="F52" s="34">
        <f t="shared" si="6"/>
        <v>191069.32138065531</v>
      </c>
      <c r="G52" s="34">
        <f t="shared" si="7"/>
        <v>345472.57960594061</v>
      </c>
      <c r="H52" s="34">
        <f>IF(40=Inputs!$C$78,$C$6,0)</f>
        <v>0</v>
      </c>
      <c r="I52" s="34">
        <f t="shared" si="8"/>
        <v>536541.90098659589</v>
      </c>
      <c r="J52" s="34">
        <f t="shared" si="9"/>
        <v>41342379.357991584</v>
      </c>
      <c r="K52" s="35">
        <f>IF(D52=0,0,I52/Inputs!$C$71*(1-Inputs!$C$80)^(40/12))</f>
        <v>6.6175239997491109E-3</v>
      </c>
    </row>
    <row r="53" spans="2:11" x14ac:dyDescent="0.3">
      <c r="B53" s="28">
        <v>41</v>
      </c>
      <c r="C53" s="29">
        <f>EDATE($C$12,41)</f>
        <v>46539</v>
      </c>
      <c r="D53" s="30">
        <f>IF(41&gt;Inputs!$C$78,0,J52)</f>
        <v>41342379.357991584</v>
      </c>
      <c r="E53" s="30">
        <f t="shared" si="5"/>
        <v>536541.90098659589</v>
      </c>
      <c r="F53" s="30">
        <f t="shared" si="6"/>
        <v>189485.90539079477</v>
      </c>
      <c r="G53" s="30">
        <f t="shared" si="7"/>
        <v>347055.99559580116</v>
      </c>
      <c r="H53" s="30">
        <f>IF(41=Inputs!$C$78,$C$6,0)</f>
        <v>0</v>
      </c>
      <c r="I53" s="30">
        <f t="shared" si="8"/>
        <v>536541.90098659589</v>
      </c>
      <c r="J53" s="30">
        <f t="shared" si="9"/>
        <v>40995323.362395786</v>
      </c>
      <c r="K53" s="31">
        <f>IF(D53=0,0,I53/Inputs!$C$71*(1-Inputs!$C$80)^(41/12))</f>
        <v>6.5979061609107966E-3</v>
      </c>
    </row>
    <row r="54" spans="2:11" x14ac:dyDescent="0.3">
      <c r="B54" s="32">
        <v>42</v>
      </c>
      <c r="C54" s="33">
        <f>EDATE($C$12,42)</f>
        <v>46569</v>
      </c>
      <c r="D54" s="34">
        <f>IF(42&gt;Inputs!$C$78,0,J53)</f>
        <v>40995323.362395786</v>
      </c>
      <c r="E54" s="34">
        <f t="shared" si="5"/>
        <v>536541.90098659589</v>
      </c>
      <c r="F54" s="34">
        <f t="shared" si="6"/>
        <v>187895.23207764735</v>
      </c>
      <c r="G54" s="34">
        <f t="shared" si="7"/>
        <v>348646.66890894854</v>
      </c>
      <c r="H54" s="34">
        <f>IF(42=Inputs!$C$78,$C$6,0)</f>
        <v>0</v>
      </c>
      <c r="I54" s="34">
        <f t="shared" si="8"/>
        <v>536541.90098659589</v>
      </c>
      <c r="J54" s="34">
        <f t="shared" si="9"/>
        <v>40646676.69348684</v>
      </c>
      <c r="K54" s="35">
        <f>IF(D54=0,0,I54/Inputs!$C$71*(1-Inputs!$C$80)^(42/12))</f>
        <v>6.5783464797158405E-3</v>
      </c>
    </row>
    <row r="55" spans="2:11" x14ac:dyDescent="0.3">
      <c r="B55" s="28">
        <v>43</v>
      </c>
      <c r="C55" s="29">
        <f>EDATE($C$12,43)</f>
        <v>46600</v>
      </c>
      <c r="D55" s="30">
        <f>IF(43&gt;Inputs!$C$78,0,J54)</f>
        <v>40646676.69348684</v>
      </c>
      <c r="E55" s="30">
        <f t="shared" si="5"/>
        <v>536541.90098659589</v>
      </c>
      <c r="F55" s="30">
        <f t="shared" si="6"/>
        <v>186297.26817848135</v>
      </c>
      <c r="G55" s="30">
        <f t="shared" si="7"/>
        <v>350244.63280811452</v>
      </c>
      <c r="H55" s="30">
        <f>IF(43=Inputs!$C$78,$C$6,0)</f>
        <v>0</v>
      </c>
      <c r="I55" s="30">
        <f t="shared" si="8"/>
        <v>536541.90098659589</v>
      </c>
      <c r="J55" s="30">
        <f t="shared" si="9"/>
        <v>40296432.060678728</v>
      </c>
      <c r="K55" s="31">
        <f>IF(D55=0,0,I55/Inputs!$C$71*(1-Inputs!$C$80)^(43/12))</f>
        <v>6.5588447837542467E-3</v>
      </c>
    </row>
    <row r="56" spans="2:11" x14ac:dyDescent="0.3">
      <c r="B56" s="32">
        <v>44</v>
      </c>
      <c r="C56" s="33">
        <f>EDATE($C$12,44)</f>
        <v>46631</v>
      </c>
      <c r="D56" s="34">
        <f>IF(44&gt;Inputs!$C$78,0,J55)</f>
        <v>40296432.060678728</v>
      </c>
      <c r="E56" s="34">
        <f t="shared" si="5"/>
        <v>536541.90098659589</v>
      </c>
      <c r="F56" s="34">
        <f t="shared" si="6"/>
        <v>184691.98027811083</v>
      </c>
      <c r="G56" s="34">
        <f t="shared" si="7"/>
        <v>351849.92070848506</v>
      </c>
      <c r="H56" s="34">
        <f>IF(44=Inputs!$C$78,$C$6,0)</f>
        <v>0</v>
      </c>
      <c r="I56" s="34">
        <f t="shared" si="8"/>
        <v>536541.90098659589</v>
      </c>
      <c r="J56" s="34">
        <f t="shared" si="9"/>
        <v>39944582.139970243</v>
      </c>
      <c r="K56" s="35">
        <f>IF(D56=0,0,I56/Inputs!$C$71*(1-Inputs!$C$80)^(44/12))</f>
        <v>6.5394009011271364E-3</v>
      </c>
    </row>
    <row r="57" spans="2:11" x14ac:dyDescent="0.3">
      <c r="B57" s="28">
        <v>45</v>
      </c>
      <c r="C57" s="29">
        <f>EDATE($C$12,45)</f>
        <v>46661</v>
      </c>
      <c r="D57" s="30">
        <f>IF(45&gt;Inputs!$C$78,0,J56)</f>
        <v>39944582.139970243</v>
      </c>
      <c r="E57" s="30">
        <f t="shared" si="5"/>
        <v>536541.90098659589</v>
      </c>
      <c r="F57" s="30">
        <f t="shared" si="6"/>
        <v>183079.33480819696</v>
      </c>
      <c r="G57" s="30">
        <f t="shared" si="7"/>
        <v>353462.56617839891</v>
      </c>
      <c r="H57" s="30">
        <f>IF(45=Inputs!$C$78,$C$6,0)</f>
        <v>0</v>
      </c>
      <c r="I57" s="30">
        <f t="shared" si="8"/>
        <v>536541.90098659589</v>
      </c>
      <c r="J57" s="30">
        <f t="shared" si="9"/>
        <v>39591119.573791847</v>
      </c>
      <c r="K57" s="31">
        <f>IF(D57=0,0,I57/Inputs!$C$71*(1-Inputs!$C$80)^(45/12))</f>
        <v>6.5200146604452282E-3</v>
      </c>
    </row>
    <row r="58" spans="2:11" x14ac:dyDescent="0.3">
      <c r="B58" s="32">
        <v>46</v>
      </c>
      <c r="C58" s="33">
        <f>EDATE($C$12,46)</f>
        <v>46692</v>
      </c>
      <c r="D58" s="34">
        <f>IF(46&gt;Inputs!$C$78,0,J57)</f>
        <v>39591119.573791847</v>
      </c>
      <c r="E58" s="34">
        <f t="shared" si="5"/>
        <v>536541.90098659589</v>
      </c>
      <c r="F58" s="34">
        <f t="shared" si="6"/>
        <v>181459.29804654597</v>
      </c>
      <c r="G58" s="34">
        <f t="shared" si="7"/>
        <v>355082.60294004995</v>
      </c>
      <c r="H58" s="34">
        <f>IF(46=Inputs!$C$78,$C$6,0)</f>
        <v>0</v>
      </c>
      <c r="I58" s="34">
        <f t="shared" si="8"/>
        <v>536541.90098659589</v>
      </c>
      <c r="J58" s="34">
        <f t="shared" si="9"/>
        <v>39236036.970851794</v>
      </c>
      <c r="K58" s="35">
        <f>IF(D58=0,0,I58/Inputs!$C$71*(1-Inputs!$C$80)^(46/12))</f>
        <v>6.5006858908273311E-3</v>
      </c>
    </row>
    <row r="59" spans="2:11" x14ac:dyDescent="0.3">
      <c r="B59" s="28">
        <v>47</v>
      </c>
      <c r="C59" s="29">
        <f>EDATE($C$12,47)</f>
        <v>46722</v>
      </c>
      <c r="D59" s="30">
        <f>IF(47&gt;Inputs!$C$78,0,J58)</f>
        <v>39236036.970851794</v>
      </c>
      <c r="E59" s="30">
        <f t="shared" si="5"/>
        <v>536541.90098659589</v>
      </c>
      <c r="F59" s="30">
        <f t="shared" si="6"/>
        <v>179831.83611640407</v>
      </c>
      <c r="G59" s="30">
        <f t="shared" si="7"/>
        <v>356710.06487019185</v>
      </c>
      <c r="H59" s="30">
        <f>IF(47=Inputs!$C$78,$C$6,0)</f>
        <v>0</v>
      </c>
      <c r="I59" s="30">
        <f t="shared" si="8"/>
        <v>536541.90098659589</v>
      </c>
      <c r="J59" s="30">
        <f t="shared" si="9"/>
        <v>38879326.9059816</v>
      </c>
      <c r="K59" s="31">
        <f>IF(D59=0,0,I59/Inputs!$C$71*(1-Inputs!$C$80)^(47/12))</f>
        <v>6.4814144218988332E-3</v>
      </c>
    </row>
    <row r="60" spans="2:11" x14ac:dyDescent="0.3">
      <c r="B60" s="32">
        <v>48</v>
      </c>
      <c r="C60" s="33">
        <f>EDATE($C$12,48)</f>
        <v>46753</v>
      </c>
      <c r="D60" s="34">
        <f>IF(48&gt;Inputs!$C$78,0,J59)</f>
        <v>38879326.9059816</v>
      </c>
      <c r="E60" s="34">
        <f t="shared" si="5"/>
        <v>536541.90098659589</v>
      </c>
      <c r="F60" s="34">
        <f t="shared" si="6"/>
        <v>178196.914985749</v>
      </c>
      <c r="G60" s="34">
        <f t="shared" si="7"/>
        <v>358344.9860008469</v>
      </c>
      <c r="H60" s="34">
        <f>IF(48=Inputs!$C$78,$C$6,0)</f>
        <v>0</v>
      </c>
      <c r="I60" s="34">
        <f t="shared" si="8"/>
        <v>536541.90098659589</v>
      </c>
      <c r="J60" s="34">
        <f t="shared" si="9"/>
        <v>38520981.919980757</v>
      </c>
      <c r="K60" s="35">
        <f>IF(D60=0,0,I60/Inputs!$C$71*(1-Inputs!$C$80)^(48/12))</f>
        <v>6.4622000837902061E-3</v>
      </c>
    </row>
    <row r="61" spans="2:11" x14ac:dyDescent="0.3">
      <c r="B61" s="28">
        <v>49</v>
      </c>
      <c r="C61" s="29">
        <f>EDATE($C$12,49)</f>
        <v>46784</v>
      </c>
      <c r="D61" s="30">
        <f>IF(49&gt;Inputs!$C$78,0,J60)</f>
        <v>38520981.919980757</v>
      </c>
      <c r="E61" s="30">
        <f t="shared" si="5"/>
        <v>536541.90098659589</v>
      </c>
      <c r="F61" s="30">
        <f t="shared" si="6"/>
        <v>176554.50046657847</v>
      </c>
      <c r="G61" s="30">
        <f t="shared" si="7"/>
        <v>359987.40052001743</v>
      </c>
      <c r="H61" s="30">
        <f>IF(49=Inputs!$C$78,$C$6,0)</f>
        <v>0</v>
      </c>
      <c r="I61" s="30">
        <f t="shared" si="8"/>
        <v>536541.90098659589</v>
      </c>
      <c r="J61" s="30">
        <f t="shared" si="9"/>
        <v>38160994.519460738</v>
      </c>
      <c r="K61" s="31">
        <f>IF(D61=0,0,I61/Inputs!$C$71*(1-Inputs!$C$80)^(49/12))</f>
        <v>6.4430427071355025E-3</v>
      </c>
    </row>
    <row r="62" spans="2:11" x14ac:dyDescent="0.3">
      <c r="B62" s="32">
        <v>50</v>
      </c>
      <c r="C62" s="33">
        <f>EDATE($C$12,50)</f>
        <v>46813</v>
      </c>
      <c r="D62" s="34">
        <f>IF(50&gt;Inputs!$C$78,0,J61)</f>
        <v>38160994.519460738</v>
      </c>
      <c r="E62" s="34">
        <f t="shared" si="5"/>
        <v>536541.90098659589</v>
      </c>
      <c r="F62" s="34">
        <f t="shared" si="6"/>
        <v>174904.55821419504</v>
      </c>
      <c r="G62" s="34">
        <f t="shared" si="7"/>
        <v>361637.34277240082</v>
      </c>
      <c r="H62" s="34">
        <f>IF(50=Inputs!$C$78,$C$6,0)</f>
        <v>0</v>
      </c>
      <c r="I62" s="34">
        <f t="shared" si="8"/>
        <v>536541.90098659589</v>
      </c>
      <c r="J62" s="34">
        <f t="shared" si="9"/>
        <v>37799357.176688336</v>
      </c>
      <c r="K62" s="35">
        <f>IF(D62=0,0,I62/Inputs!$C$71*(1-Inputs!$C$80)^(50/12))</f>
        <v>6.4239421230708653E-3</v>
      </c>
    </row>
    <row r="63" spans="2:11" x14ac:dyDescent="0.3">
      <c r="B63" s="28">
        <v>51</v>
      </c>
      <c r="C63" s="29">
        <f>EDATE($C$12,51)</f>
        <v>46844</v>
      </c>
      <c r="D63" s="30">
        <f>IF(51&gt;Inputs!$C$78,0,J62)</f>
        <v>37799357.176688336</v>
      </c>
      <c r="E63" s="30">
        <f t="shared" si="5"/>
        <v>536541.90098659589</v>
      </c>
      <c r="F63" s="30">
        <f t="shared" si="6"/>
        <v>173247.0537264882</v>
      </c>
      <c r="G63" s="30">
        <f t="shared" si="7"/>
        <v>363294.84726010769</v>
      </c>
      <c r="H63" s="30">
        <f>IF(51=Inputs!$C$78,$C$6,0)</f>
        <v>0</v>
      </c>
      <c r="I63" s="30">
        <f t="shared" si="8"/>
        <v>536541.90098659589</v>
      </c>
      <c r="J63" s="30">
        <f t="shared" si="9"/>
        <v>37436062.329428226</v>
      </c>
      <c r="K63" s="31">
        <f>IF(D63=0,0,I63/Inputs!$C$71*(1-Inputs!$C$80)^(51/12))</f>
        <v>6.4048981632330408E-3</v>
      </c>
    </row>
    <row r="64" spans="2:11" x14ac:dyDescent="0.3">
      <c r="B64" s="32">
        <v>52</v>
      </c>
      <c r="C64" s="33">
        <f>EDATE($C$12,52)</f>
        <v>46874</v>
      </c>
      <c r="D64" s="34">
        <f>IF(52&gt;Inputs!$C$78,0,J63)</f>
        <v>37436062.329428226</v>
      </c>
      <c r="E64" s="34">
        <f t="shared" si="5"/>
        <v>536541.90098659589</v>
      </c>
      <c r="F64" s="34">
        <f t="shared" si="6"/>
        <v>171581.9523432127</v>
      </c>
      <c r="G64" s="34">
        <f t="shared" si="7"/>
        <v>364959.94864338322</v>
      </c>
      <c r="H64" s="34">
        <f>IF(52=Inputs!$C$78,$C$6,0)</f>
        <v>0</v>
      </c>
      <c r="I64" s="34">
        <f t="shared" si="8"/>
        <v>536541.90098659589</v>
      </c>
      <c r="J64" s="34">
        <f t="shared" si="9"/>
        <v>37071102.380784839</v>
      </c>
      <c r="K64" s="35">
        <f>IF(D64=0,0,I64/Inputs!$C$71*(1-Inputs!$C$80)^(52/12))</f>
        <v>6.3859106597578923E-3</v>
      </c>
    </row>
    <row r="65" spans="2:11" x14ac:dyDescent="0.3">
      <c r="B65" s="28">
        <v>53</v>
      </c>
      <c r="C65" s="29">
        <f>EDATE($C$12,53)</f>
        <v>46905</v>
      </c>
      <c r="D65" s="30">
        <f>IF(53&gt;Inputs!$C$78,0,J64)</f>
        <v>37071102.380784839</v>
      </c>
      <c r="E65" s="30">
        <f t="shared" si="5"/>
        <v>536541.90098659589</v>
      </c>
      <c r="F65" s="30">
        <f t="shared" si="6"/>
        <v>169909.21924526384</v>
      </c>
      <c r="G65" s="30">
        <f t="shared" si="7"/>
        <v>366632.68174133205</v>
      </c>
      <c r="H65" s="30">
        <f>IF(53=Inputs!$C$78,$C$6,0)</f>
        <v>0</v>
      </c>
      <c r="I65" s="30">
        <f t="shared" si="8"/>
        <v>536541.90098659589</v>
      </c>
      <c r="J65" s="30">
        <f t="shared" si="9"/>
        <v>36704469.699043505</v>
      </c>
      <c r="K65" s="31">
        <f>IF(D65=0,0,I65/Inputs!$C$71*(1-Inputs!$C$80)^(53/12))</f>
        <v>6.3669794452789188E-3</v>
      </c>
    </row>
    <row r="66" spans="2:11" x14ac:dyDescent="0.3">
      <c r="B66" s="32">
        <v>54</v>
      </c>
      <c r="C66" s="33">
        <f>EDATE($C$12,54)</f>
        <v>46935</v>
      </c>
      <c r="D66" s="34">
        <f>IF(54&gt;Inputs!$C$78,0,J65)</f>
        <v>36704469.699043505</v>
      </c>
      <c r="E66" s="34">
        <f t="shared" si="5"/>
        <v>536541.90098659589</v>
      </c>
      <c r="F66" s="34">
        <f t="shared" si="6"/>
        <v>168228.8194539494</v>
      </c>
      <c r="G66" s="34">
        <f t="shared" si="7"/>
        <v>368313.08153264649</v>
      </c>
      <c r="H66" s="34">
        <f>IF(54=Inputs!$C$78,$C$6,0)</f>
        <v>0</v>
      </c>
      <c r="I66" s="34">
        <f t="shared" si="8"/>
        <v>536541.90098659589</v>
      </c>
      <c r="J66" s="34">
        <f t="shared" si="9"/>
        <v>36336156.617510855</v>
      </c>
      <c r="K66" s="35">
        <f>IF(D66=0,0,I66/Inputs!$C$71*(1-Inputs!$C$80)^(54/12))</f>
        <v>6.3481043529257852E-3</v>
      </c>
    </row>
    <row r="67" spans="2:11" x14ac:dyDescent="0.3">
      <c r="B67" s="28">
        <v>55</v>
      </c>
      <c r="C67" s="29">
        <f>EDATE($C$12,55)</f>
        <v>46966</v>
      </c>
      <c r="D67" s="30">
        <f>IF(55&gt;Inputs!$C$78,0,J66)</f>
        <v>36336156.617510855</v>
      </c>
      <c r="E67" s="30">
        <f t="shared" si="5"/>
        <v>536541.90098659589</v>
      </c>
      <c r="F67" s="30">
        <f t="shared" si="6"/>
        <v>166540.7178302581</v>
      </c>
      <c r="G67" s="30">
        <f t="shared" si="7"/>
        <v>370001.18315633782</v>
      </c>
      <c r="H67" s="30">
        <f>IF(55=Inputs!$C$78,$C$6,0)</f>
        <v>0</v>
      </c>
      <c r="I67" s="30">
        <f t="shared" si="8"/>
        <v>536541.90098659589</v>
      </c>
      <c r="J67" s="30">
        <f t="shared" si="9"/>
        <v>35966155.434354514</v>
      </c>
      <c r="K67" s="31">
        <f>IF(D67=0,0,I67/Inputs!$C$71*(1-Inputs!$C$80)^(55/12))</f>
        <v>6.3292852163228481E-3</v>
      </c>
    </row>
    <row r="68" spans="2:11" x14ac:dyDescent="0.3">
      <c r="B68" s="32">
        <v>56</v>
      </c>
      <c r="C68" s="33">
        <f>EDATE($C$12,56)</f>
        <v>46997</v>
      </c>
      <c r="D68" s="34">
        <f>IF(56&gt;Inputs!$C$78,0,J67)</f>
        <v>35966155.434354514</v>
      </c>
      <c r="E68" s="34">
        <f t="shared" si="5"/>
        <v>536541.90098659589</v>
      </c>
      <c r="F68" s="34">
        <f t="shared" si="6"/>
        <v>164844.87907412485</v>
      </c>
      <c r="G68" s="34">
        <f t="shared" si="7"/>
        <v>371697.02191247104</v>
      </c>
      <c r="H68" s="34">
        <f>IF(56=Inputs!$C$78,$C$6,0)</f>
        <v>0</v>
      </c>
      <c r="I68" s="34">
        <f t="shared" si="8"/>
        <v>536541.90098659589</v>
      </c>
      <c r="J68" s="34">
        <f t="shared" si="9"/>
        <v>35594458.412442043</v>
      </c>
      <c r="K68" s="35">
        <f>IF(D68=0,0,I68/Inputs!$C$71*(1-Inputs!$C$80)^(56/12))</f>
        <v>6.3105218695876861E-3</v>
      </c>
    </row>
    <row r="69" spans="2:11" x14ac:dyDescent="0.3">
      <c r="B69" s="28">
        <v>57</v>
      </c>
      <c r="C69" s="29">
        <f>EDATE($C$12,57)</f>
        <v>47027</v>
      </c>
      <c r="D69" s="30">
        <f>IF(57&gt;Inputs!$C$78,0,J68)</f>
        <v>35594458.412442043</v>
      </c>
      <c r="E69" s="30">
        <f t="shared" si="5"/>
        <v>536541.90098659589</v>
      </c>
      <c r="F69" s="30">
        <f t="shared" si="6"/>
        <v>163141.2677236927</v>
      </c>
      <c r="G69" s="30">
        <f t="shared" si="7"/>
        <v>373400.6332629032</v>
      </c>
      <c r="H69" s="30">
        <f>IF(57=Inputs!$C$78,$C$6,0)</f>
        <v>0</v>
      </c>
      <c r="I69" s="30">
        <f t="shared" si="8"/>
        <v>536541.90098659589</v>
      </c>
      <c r="J69" s="30">
        <f t="shared" si="9"/>
        <v>35221057.779179141</v>
      </c>
      <c r="K69" s="31">
        <f>IF(D69=0,0,I69/Inputs!$C$71*(1-Inputs!$C$80)^(57/12))</f>
        <v>6.2918141473296456E-3</v>
      </c>
    </row>
    <row r="70" spans="2:11" x14ac:dyDescent="0.3">
      <c r="B70" s="32">
        <v>58</v>
      </c>
      <c r="C70" s="33">
        <f>EDATE($C$12,58)</f>
        <v>47058</v>
      </c>
      <c r="D70" s="34">
        <f>IF(58&gt;Inputs!$C$78,0,J69)</f>
        <v>35221057.779179141</v>
      </c>
      <c r="E70" s="34">
        <f t="shared" si="5"/>
        <v>536541.90098659589</v>
      </c>
      <c r="F70" s="34">
        <f t="shared" si="6"/>
        <v>161429.84815457105</v>
      </c>
      <c r="G70" s="34">
        <f t="shared" si="7"/>
        <v>375112.05283202487</v>
      </c>
      <c r="H70" s="34">
        <f>IF(58=Inputs!$C$78,$C$6,0)</f>
        <v>0</v>
      </c>
      <c r="I70" s="34">
        <f t="shared" si="8"/>
        <v>536541.90098659589</v>
      </c>
      <c r="J70" s="34">
        <f t="shared" si="9"/>
        <v>34845945.726347119</v>
      </c>
      <c r="K70" s="35">
        <f>IF(D70=0,0,I70/Inputs!$C$71*(1-Inputs!$C$80)^(58/12))</f>
        <v>6.2731618846483738E-3</v>
      </c>
    </row>
    <row r="71" spans="2:11" x14ac:dyDescent="0.3">
      <c r="B71" s="28">
        <v>59</v>
      </c>
      <c r="C71" s="29">
        <f>EDATE($C$12,59)</f>
        <v>47088</v>
      </c>
      <c r="D71" s="30">
        <f>IF(59&gt;Inputs!$C$78,0,J70)</f>
        <v>34845945.726347119</v>
      </c>
      <c r="E71" s="30">
        <f t="shared" si="5"/>
        <v>536541.90098659589</v>
      </c>
      <c r="F71" s="30">
        <f t="shared" si="6"/>
        <v>159710.58457909097</v>
      </c>
      <c r="G71" s="30">
        <f t="shared" si="7"/>
        <v>376831.31640750496</v>
      </c>
      <c r="H71" s="30">
        <f>IF(59=Inputs!$C$78,$C$6,0)</f>
        <v>0</v>
      </c>
      <c r="I71" s="30">
        <f t="shared" si="8"/>
        <v>536541.90098659589</v>
      </c>
      <c r="J71" s="30">
        <f t="shared" si="9"/>
        <v>34469114.409939617</v>
      </c>
      <c r="K71" s="31">
        <f>IF(D71=0,0,I71/Inputs!$C$71*(1-Inputs!$C$80)^(59/12))</f>
        <v>6.2545649171323742E-3</v>
      </c>
    </row>
    <row r="72" spans="2:11" x14ac:dyDescent="0.3">
      <c r="B72" s="32">
        <v>60</v>
      </c>
      <c r="C72" s="33">
        <f>EDATE($C$12,60)</f>
        <v>47119</v>
      </c>
      <c r="D72" s="34">
        <f>IF(60&gt;Inputs!$C$78,0,J71)</f>
        <v>34469114.409939617</v>
      </c>
      <c r="E72" s="34">
        <f t="shared" si="5"/>
        <v>536541.90098659589</v>
      </c>
      <c r="F72" s="34">
        <f t="shared" si="6"/>
        <v>157983.44104555657</v>
      </c>
      <c r="G72" s="34">
        <f t="shared" si="7"/>
        <v>378558.45994103933</v>
      </c>
      <c r="H72" s="34">
        <f>IF(60=Inputs!$C$78,$C$6,0)</f>
        <v>0</v>
      </c>
      <c r="I72" s="34">
        <f t="shared" si="8"/>
        <v>536541.90098659589</v>
      </c>
      <c r="J72" s="34">
        <f t="shared" si="9"/>
        <v>34090555.94999858</v>
      </c>
      <c r="K72" s="35">
        <f>IF(D72=0,0,I72/Inputs!$C$71*(1-Inputs!$C$80)^(60/12))</f>
        <v>6.2360230808575483E-3</v>
      </c>
    </row>
    <row r="73" spans="2:11" x14ac:dyDescent="0.3">
      <c r="B73" s="28">
        <v>61</v>
      </c>
      <c r="C73" s="29">
        <f>EDATE($C$12,61)</f>
        <v>47150</v>
      </c>
      <c r="D73" s="30">
        <f>IF(61&gt;Inputs!$C$78,0,J72)</f>
        <v>34090555.94999858</v>
      </c>
      <c r="E73" s="30">
        <f t="shared" si="5"/>
        <v>536541.90098659589</v>
      </c>
      <c r="F73" s="30">
        <f t="shared" si="6"/>
        <v>156248.38143749349</v>
      </c>
      <c r="G73" s="30">
        <f t="shared" si="7"/>
        <v>380293.51954910241</v>
      </c>
      <c r="H73" s="30">
        <f>IF(61=Inputs!$C$78,$C$6,0)</f>
        <v>0</v>
      </c>
      <c r="I73" s="30">
        <f t="shared" si="8"/>
        <v>536541.90098659589</v>
      </c>
      <c r="J73" s="30">
        <f t="shared" si="9"/>
        <v>33710262.430449478</v>
      </c>
      <c r="K73" s="31">
        <f>IF(D73=0,0,I73/Inputs!$C$71*(1-Inputs!$C$80)^(61/12))</f>
        <v>6.2175362123857592E-3</v>
      </c>
    </row>
    <row r="74" spans="2:11" x14ac:dyDescent="0.3">
      <c r="B74" s="32">
        <v>62</v>
      </c>
      <c r="C74" s="33">
        <f>EDATE($C$12,62)</f>
        <v>47178</v>
      </c>
      <c r="D74" s="34">
        <f>IF(62&gt;Inputs!$C$78,0,J73)</f>
        <v>33710262.430449478</v>
      </c>
      <c r="E74" s="34">
        <f t="shared" si="5"/>
        <v>536541.90098659589</v>
      </c>
      <c r="F74" s="34">
        <f t="shared" si="6"/>
        <v>154505.36947289345</v>
      </c>
      <c r="G74" s="34">
        <f t="shared" si="7"/>
        <v>382036.53151370247</v>
      </c>
      <c r="H74" s="34">
        <f>IF(62=Inputs!$C$78,$C$6,0)</f>
        <v>0</v>
      </c>
      <c r="I74" s="34">
        <f t="shared" si="8"/>
        <v>536541.90098659589</v>
      </c>
      <c r="J74" s="34">
        <f t="shared" si="9"/>
        <v>33328225.898935776</v>
      </c>
      <c r="K74" s="35">
        <f>IF(D74=0,0,I74/Inputs!$C$71*(1-Inputs!$C$80)^(62/12))</f>
        <v>6.1991041487633848E-3</v>
      </c>
    </row>
    <row r="75" spans="2:11" x14ac:dyDescent="0.3">
      <c r="B75" s="28">
        <v>63</v>
      </c>
      <c r="C75" s="29">
        <f>EDATE($C$12,63)</f>
        <v>47209</v>
      </c>
      <c r="D75" s="30">
        <f>IF(63&gt;Inputs!$C$78,0,J74)</f>
        <v>33328225.898935776</v>
      </c>
      <c r="E75" s="30">
        <f t="shared" si="5"/>
        <v>536541.90098659589</v>
      </c>
      <c r="F75" s="30">
        <f t="shared" si="6"/>
        <v>152754.36870345564</v>
      </c>
      <c r="G75" s="30">
        <f t="shared" si="7"/>
        <v>383787.53228314023</v>
      </c>
      <c r="H75" s="30">
        <f>IF(63=Inputs!$C$78,$C$6,0)</f>
        <v>0</v>
      </c>
      <c r="I75" s="30">
        <f t="shared" si="8"/>
        <v>536541.90098659589</v>
      </c>
      <c r="J75" s="30">
        <f t="shared" si="9"/>
        <v>32944438.366652638</v>
      </c>
      <c r="K75" s="31">
        <f>IF(D75=0,0,I75/Inputs!$C$71*(1-Inputs!$C$80)^(63/12))</f>
        <v>6.1807267275198847E-3</v>
      </c>
    </row>
    <row r="76" spans="2:11" x14ac:dyDescent="0.3">
      <c r="B76" s="32">
        <v>64</v>
      </c>
      <c r="C76" s="33">
        <f>EDATE($C$12,64)</f>
        <v>47239</v>
      </c>
      <c r="D76" s="34">
        <f>IF(64&gt;Inputs!$C$78,0,J75)</f>
        <v>32944438.366652638</v>
      </c>
      <c r="E76" s="34">
        <f t="shared" si="5"/>
        <v>536541.90098659589</v>
      </c>
      <c r="F76" s="34">
        <f t="shared" si="6"/>
        <v>150995.34251382458</v>
      </c>
      <c r="G76" s="34">
        <f t="shared" si="7"/>
        <v>385546.55847277131</v>
      </c>
      <c r="H76" s="34">
        <f>IF(64=Inputs!$C$78,$C$6,0)</f>
        <v>0</v>
      </c>
      <c r="I76" s="34">
        <f t="shared" si="8"/>
        <v>536541.90098659589</v>
      </c>
      <c r="J76" s="34">
        <f t="shared" si="9"/>
        <v>32558891.808179867</v>
      </c>
      <c r="K76" s="35">
        <f>IF(D76=0,0,I76/Inputs!$C$71*(1-Inputs!$C$80)^(64/12))</f>
        <v>6.1624037866663661E-3</v>
      </c>
    </row>
    <row r="77" spans="2:11" x14ac:dyDescent="0.3">
      <c r="B77" s="28">
        <v>65</v>
      </c>
      <c r="C77" s="29">
        <f>EDATE($C$12,65)</f>
        <v>47270</v>
      </c>
      <c r="D77" s="30">
        <f>IF(65&gt;Inputs!$C$78,0,J76)</f>
        <v>32558891.808179867</v>
      </c>
      <c r="E77" s="30">
        <f t="shared" ref="E77:E108" si="10">IF(D77=0,0,MIN($C$8,D77+F77))</f>
        <v>536541.90098659589</v>
      </c>
      <c r="F77" s="30">
        <f t="shared" ref="F77:F108" si="11">IF(D77=0,0,D77*$C$7)</f>
        <v>149228.25412082439</v>
      </c>
      <c r="G77" s="30">
        <f t="shared" ref="G77:G108" si="12">IF(D77=0,0,E77-F77)</f>
        <v>387313.6468657715</v>
      </c>
      <c r="H77" s="30">
        <f>IF(65=Inputs!$C$78,$C$6,0)</f>
        <v>0</v>
      </c>
      <c r="I77" s="30">
        <f t="shared" ref="I77:I108" si="13">IF(D77=0,0,E77+H77)</f>
        <v>536541.90098659589</v>
      </c>
      <c r="J77" s="30">
        <f t="shared" ref="J77:J108" si="14">IF(D77=0,0,MAX(0,D77-G77-H77))</f>
        <v>32171578.161314096</v>
      </c>
      <c r="K77" s="31">
        <f>IF(D77=0,0,I77/Inputs!$C$71*(1-Inputs!$C$80)^(65/12))</f>
        <v>6.1441351646941561E-3</v>
      </c>
    </row>
    <row r="78" spans="2:11" x14ac:dyDescent="0.3">
      <c r="B78" s="32">
        <v>66</v>
      </c>
      <c r="C78" s="33">
        <f>EDATE($C$12,66)</f>
        <v>47300</v>
      </c>
      <c r="D78" s="34">
        <f>IF(66&gt;Inputs!$C$78,0,J77)</f>
        <v>32171578.161314096</v>
      </c>
      <c r="E78" s="34">
        <f t="shared" si="10"/>
        <v>536541.90098659589</v>
      </c>
      <c r="F78" s="34">
        <f t="shared" si="11"/>
        <v>147453.0665726896</v>
      </c>
      <c r="G78" s="34">
        <f t="shared" si="12"/>
        <v>389088.83441390633</v>
      </c>
      <c r="H78" s="34">
        <f>IF(66=Inputs!$C$78,$C$6,0)</f>
        <v>0</v>
      </c>
      <c r="I78" s="34">
        <f t="shared" si="13"/>
        <v>536541.90098659589</v>
      </c>
      <c r="J78" s="34">
        <f t="shared" si="14"/>
        <v>31782489.326900192</v>
      </c>
      <c r="K78" s="35">
        <f>IF(D78=0,0,I78/Inputs!$C$71*(1-Inputs!$C$80)^(66/12))</f>
        <v>6.1259207005733831E-3</v>
      </c>
    </row>
    <row r="79" spans="2:11" x14ac:dyDescent="0.3">
      <c r="B79" s="28">
        <v>67</v>
      </c>
      <c r="C79" s="29">
        <f>EDATE($C$12,67)</f>
        <v>47331</v>
      </c>
      <c r="D79" s="30">
        <f>IF(67&gt;Inputs!$C$78,0,J78)</f>
        <v>31782489.326900192</v>
      </c>
      <c r="E79" s="30">
        <f t="shared" si="10"/>
        <v>536541.90098659589</v>
      </c>
      <c r="F79" s="30">
        <f t="shared" si="11"/>
        <v>145669.74274829254</v>
      </c>
      <c r="G79" s="30">
        <f t="shared" si="12"/>
        <v>390872.15823830338</v>
      </c>
      <c r="H79" s="30">
        <f>IF(67=Inputs!$C$78,$C$6,0)</f>
        <v>0</v>
      </c>
      <c r="I79" s="30">
        <f t="shared" si="13"/>
        <v>536541.90098659589</v>
      </c>
      <c r="J79" s="30">
        <f t="shared" si="14"/>
        <v>31391617.168661889</v>
      </c>
      <c r="K79" s="31">
        <f>IF(D79=0,0,I79/Inputs!$C$71*(1-Inputs!$C$80)^(67/12))</f>
        <v>6.1077602337515479E-3</v>
      </c>
    </row>
    <row r="80" spans="2:11" x14ac:dyDescent="0.3">
      <c r="B80" s="32">
        <v>68</v>
      </c>
      <c r="C80" s="33">
        <f>EDATE($C$12,68)</f>
        <v>47362</v>
      </c>
      <c r="D80" s="34">
        <f>IF(68&gt;Inputs!$C$78,0,J79)</f>
        <v>31391617.168661889</v>
      </c>
      <c r="E80" s="34">
        <f t="shared" si="10"/>
        <v>536541.90098659589</v>
      </c>
      <c r="F80" s="34">
        <f t="shared" si="11"/>
        <v>143878.245356367</v>
      </c>
      <c r="G80" s="34">
        <f t="shared" si="12"/>
        <v>392663.65563022892</v>
      </c>
      <c r="H80" s="34">
        <f>IF(68=Inputs!$C$78,$C$6,0)</f>
        <v>0</v>
      </c>
      <c r="I80" s="34">
        <f t="shared" si="13"/>
        <v>536541.90098659589</v>
      </c>
      <c r="J80" s="34">
        <f t="shared" si="14"/>
        <v>30998953.513031662</v>
      </c>
      <c r="K80" s="35">
        <f>IF(D80=0,0,I80/Inputs!$C$71*(1-Inputs!$C$80)^(68/12))</f>
        <v>6.0896536041521168E-3</v>
      </c>
    </row>
    <row r="81" spans="2:11" x14ac:dyDescent="0.3">
      <c r="B81" s="28">
        <v>69</v>
      </c>
      <c r="C81" s="29">
        <f>EDATE($C$12,69)</f>
        <v>47392</v>
      </c>
      <c r="D81" s="30">
        <f>IF(69&gt;Inputs!$C$78,0,J80)</f>
        <v>30998953.513031662</v>
      </c>
      <c r="E81" s="30">
        <f t="shared" si="10"/>
        <v>536541.90098659589</v>
      </c>
      <c r="F81" s="30">
        <f t="shared" si="11"/>
        <v>142078.53693472844</v>
      </c>
      <c r="G81" s="30">
        <f t="shared" si="12"/>
        <v>394463.36405186745</v>
      </c>
      <c r="H81" s="30">
        <f>IF(69=Inputs!$C$78,$C$6,0)</f>
        <v>0</v>
      </c>
      <c r="I81" s="30">
        <f t="shared" si="13"/>
        <v>536541.90098659589</v>
      </c>
      <c r="J81" s="30">
        <f t="shared" si="14"/>
        <v>30604490.148979794</v>
      </c>
      <c r="K81" s="31">
        <f>IF(D81=0,0,I81/Inputs!$C$71*(1-Inputs!$C$80)^(69/12))</f>
        <v>6.071600652173108E-3</v>
      </c>
    </row>
    <row r="82" spans="2:11" x14ac:dyDescent="0.3">
      <c r="B82" s="32">
        <v>70</v>
      </c>
      <c r="C82" s="33">
        <f>EDATE($C$12,70)</f>
        <v>47423</v>
      </c>
      <c r="D82" s="34">
        <f>IF(70&gt;Inputs!$C$78,0,J81)</f>
        <v>30604490.148979794</v>
      </c>
      <c r="E82" s="34">
        <f t="shared" si="10"/>
        <v>536541.90098659589</v>
      </c>
      <c r="F82" s="34">
        <f t="shared" si="11"/>
        <v>140270.57984949072</v>
      </c>
      <c r="G82" s="34">
        <f t="shared" si="12"/>
        <v>396271.32113710517</v>
      </c>
      <c r="H82" s="34">
        <f>IF(70=Inputs!$C$78,$C$6,0)</f>
        <v>0</v>
      </c>
      <c r="I82" s="34">
        <f t="shared" si="13"/>
        <v>536541.90098659589</v>
      </c>
      <c r="J82" s="34">
        <f t="shared" si="14"/>
        <v>30208218.82784269</v>
      </c>
      <c r="K82" s="35">
        <f>IF(D82=0,0,I82/Inputs!$C$71*(1-Inputs!$C$80)^(70/12))</f>
        <v>6.0536012186856811E-3</v>
      </c>
    </row>
    <row r="83" spans="2:11" x14ac:dyDescent="0.3">
      <c r="B83" s="28">
        <v>71</v>
      </c>
      <c r="C83" s="29">
        <f>EDATE($C$12,71)</f>
        <v>47453</v>
      </c>
      <c r="D83" s="30">
        <f>IF(71&gt;Inputs!$C$78,0,J82)</f>
        <v>30208218.82784269</v>
      </c>
      <c r="E83" s="30">
        <f t="shared" si="10"/>
        <v>536541.90098659589</v>
      </c>
      <c r="F83" s="30">
        <f t="shared" si="11"/>
        <v>138454.336294279</v>
      </c>
      <c r="G83" s="30">
        <f t="shared" si="12"/>
        <v>398087.56469231693</v>
      </c>
      <c r="H83" s="30">
        <f>IF(71=Inputs!$C$78,$C$6,0)</f>
        <v>0</v>
      </c>
      <c r="I83" s="30">
        <f t="shared" si="13"/>
        <v>536541.90098659589</v>
      </c>
      <c r="J83" s="30">
        <f t="shared" si="14"/>
        <v>29810131.263150372</v>
      </c>
      <c r="K83" s="31">
        <f>IF(D83=0,0,I83/Inputs!$C$71*(1-Inputs!$C$80)^(71/12))</f>
        <v>6.035655145032741E-3</v>
      </c>
    </row>
    <row r="84" spans="2:11" x14ac:dyDescent="0.3">
      <c r="B84" s="32">
        <v>72</v>
      </c>
      <c r="C84" s="33">
        <f>EDATE($C$12,72)</f>
        <v>47484</v>
      </c>
      <c r="D84" s="34">
        <f>IF(72&gt;Inputs!$C$78,0,J83)</f>
        <v>29810131.263150372</v>
      </c>
      <c r="E84" s="34">
        <f t="shared" si="10"/>
        <v>536541.90098659589</v>
      </c>
      <c r="F84" s="34">
        <f t="shared" si="11"/>
        <v>136629.76828943921</v>
      </c>
      <c r="G84" s="34">
        <f t="shared" si="12"/>
        <v>399912.13269715669</v>
      </c>
      <c r="H84" s="34">
        <f>IF(72=Inputs!$C$78,$C$6,0)</f>
        <v>0</v>
      </c>
      <c r="I84" s="34">
        <f t="shared" si="13"/>
        <v>536541.90098659589</v>
      </c>
      <c r="J84" s="34">
        <f t="shared" si="14"/>
        <v>29410219.130453214</v>
      </c>
      <c r="K84" s="35">
        <f>IF(D84=0,0,I84/Inputs!$C$71*(1-Inputs!$C$80)^(72/12))</f>
        <v>6.017762273027534E-3</v>
      </c>
    </row>
    <row r="85" spans="2:11" x14ac:dyDescent="0.3">
      <c r="B85" s="28">
        <v>73</v>
      </c>
      <c r="C85" s="29">
        <f>EDATE($C$12,73)</f>
        <v>47515</v>
      </c>
      <c r="D85" s="30">
        <f>IF(73&gt;Inputs!$C$78,0,J84)</f>
        <v>29410219.130453214</v>
      </c>
      <c r="E85" s="30">
        <f t="shared" si="10"/>
        <v>536541.90098659589</v>
      </c>
      <c r="F85" s="30">
        <f t="shared" si="11"/>
        <v>134796.83768124389</v>
      </c>
      <c r="G85" s="30">
        <f t="shared" si="12"/>
        <v>401745.063305352</v>
      </c>
      <c r="H85" s="30">
        <f>IF(73=Inputs!$C$78,$C$6,0)</f>
        <v>0</v>
      </c>
      <c r="I85" s="30">
        <f t="shared" si="13"/>
        <v>536541.90098659589</v>
      </c>
      <c r="J85" s="30">
        <f t="shared" si="14"/>
        <v>29008474.067147862</v>
      </c>
      <c r="K85" s="31">
        <f>IF(D85=0,0,I85/Inputs!$C$71*(1-Inputs!$C$80)^(73/12))</f>
        <v>5.9999224449522577E-3</v>
      </c>
    </row>
    <row r="86" spans="2:11" x14ac:dyDescent="0.3">
      <c r="B86" s="32">
        <v>74</v>
      </c>
      <c r="C86" s="33">
        <f>EDATE($C$12,74)</f>
        <v>47543</v>
      </c>
      <c r="D86" s="34">
        <f>IF(74&gt;Inputs!$C$78,0,J85)</f>
        <v>29008474.067147862</v>
      </c>
      <c r="E86" s="34">
        <f t="shared" si="10"/>
        <v>536541.90098659589</v>
      </c>
      <c r="F86" s="34">
        <f t="shared" si="11"/>
        <v>132955.50614109437</v>
      </c>
      <c r="G86" s="34">
        <f t="shared" si="12"/>
        <v>403586.39484550152</v>
      </c>
      <c r="H86" s="34">
        <f>IF(74=Inputs!$C$78,$C$6,0)</f>
        <v>0</v>
      </c>
      <c r="I86" s="34">
        <f t="shared" si="13"/>
        <v>536541.90098659589</v>
      </c>
      <c r="J86" s="34">
        <f t="shared" si="14"/>
        <v>28604887.672302362</v>
      </c>
      <c r="K86" s="35">
        <f>IF(D86=0,0,I86/Inputs!$C$71*(1-Inputs!$C$80)^(74/12))</f>
        <v>5.9821355035566664E-3</v>
      </c>
    </row>
    <row r="87" spans="2:11" x14ac:dyDescent="0.3">
      <c r="B87" s="28">
        <v>75</v>
      </c>
      <c r="C87" s="29">
        <f>EDATE($C$12,75)</f>
        <v>47574</v>
      </c>
      <c r="D87" s="30">
        <f>IF(75&gt;Inputs!$C$78,0,J86)</f>
        <v>28604887.672302362</v>
      </c>
      <c r="E87" s="30">
        <f t="shared" si="10"/>
        <v>536541.90098659589</v>
      </c>
      <c r="F87" s="30">
        <f t="shared" si="11"/>
        <v>131105.73516471917</v>
      </c>
      <c r="G87" s="30">
        <f t="shared" si="12"/>
        <v>405436.16582187673</v>
      </c>
      <c r="H87" s="30">
        <f>IF(75=Inputs!$C$78,$C$6,0)</f>
        <v>0</v>
      </c>
      <c r="I87" s="30">
        <f t="shared" si="13"/>
        <v>536541.90098659589</v>
      </c>
      <c r="J87" s="30">
        <f t="shared" si="14"/>
        <v>28199451.506480485</v>
      </c>
      <c r="K87" s="31">
        <f>IF(D87=0,0,I87/Inputs!$C$71*(1-Inputs!$C$80)^(75/12))</f>
        <v>5.9644012920566881E-3</v>
      </c>
    </row>
    <row r="88" spans="2:11" x14ac:dyDescent="0.3">
      <c r="B88" s="32">
        <v>76</v>
      </c>
      <c r="C88" s="33">
        <f>EDATE($C$12,76)</f>
        <v>47604</v>
      </c>
      <c r="D88" s="34">
        <f>IF(76&gt;Inputs!$C$78,0,J87)</f>
        <v>28199451.506480485</v>
      </c>
      <c r="E88" s="34">
        <f t="shared" si="10"/>
        <v>536541.90098659589</v>
      </c>
      <c r="F88" s="34">
        <f t="shared" si="11"/>
        <v>129247.4860713689</v>
      </c>
      <c r="G88" s="34">
        <f t="shared" si="12"/>
        <v>407294.41491522698</v>
      </c>
      <c r="H88" s="34">
        <f>IF(76=Inputs!$C$78,$C$6,0)</f>
        <v>0</v>
      </c>
      <c r="I88" s="34">
        <f t="shared" si="13"/>
        <v>536541.90098659589</v>
      </c>
      <c r="J88" s="34">
        <f t="shared" si="14"/>
        <v>27792157.091565259</v>
      </c>
      <c r="K88" s="35">
        <f>IF(D88=0,0,I88/Inputs!$C$71*(1-Inputs!$C$80)^(76/12))</f>
        <v>5.9467196541330425E-3</v>
      </c>
    </row>
    <row r="89" spans="2:11" x14ac:dyDescent="0.3">
      <c r="B89" s="28">
        <v>77</v>
      </c>
      <c r="C89" s="29">
        <f>EDATE($C$12,77)</f>
        <v>47635</v>
      </c>
      <c r="D89" s="30">
        <f>IF(77&gt;Inputs!$C$78,0,J88)</f>
        <v>27792157.091565259</v>
      </c>
      <c r="E89" s="30">
        <f t="shared" si="10"/>
        <v>536541.90098659589</v>
      </c>
      <c r="F89" s="30">
        <f t="shared" si="11"/>
        <v>127380.72000300743</v>
      </c>
      <c r="G89" s="30">
        <f t="shared" si="12"/>
        <v>409161.18098358845</v>
      </c>
      <c r="H89" s="30">
        <f>IF(77=Inputs!$C$78,$C$6,0)</f>
        <v>0</v>
      </c>
      <c r="I89" s="30">
        <f t="shared" si="13"/>
        <v>536541.90098659589</v>
      </c>
      <c r="J89" s="30">
        <f t="shared" si="14"/>
        <v>27382995.910581671</v>
      </c>
      <c r="K89" s="31">
        <f>IF(D89=0,0,I89/Inputs!$C$71*(1-Inputs!$C$80)^(77/12))</f>
        <v>5.9290904339298605E-3</v>
      </c>
    </row>
    <row r="90" spans="2:11" x14ac:dyDescent="0.3">
      <c r="B90" s="32">
        <v>78</v>
      </c>
      <c r="C90" s="33">
        <f>EDATE($C$12,78)</f>
        <v>47665</v>
      </c>
      <c r="D90" s="34">
        <f>IF(78&gt;Inputs!$C$78,0,J89)</f>
        <v>27382995.910581671</v>
      </c>
      <c r="E90" s="34">
        <f t="shared" si="10"/>
        <v>536541.90098659589</v>
      </c>
      <c r="F90" s="34">
        <f t="shared" si="11"/>
        <v>125505.39792349933</v>
      </c>
      <c r="G90" s="34">
        <f t="shared" si="12"/>
        <v>411036.50306309655</v>
      </c>
      <c r="H90" s="34">
        <f>IF(78=Inputs!$C$78,$C$6,0)</f>
        <v>0</v>
      </c>
      <c r="I90" s="34">
        <f t="shared" si="13"/>
        <v>536541.90098659589</v>
      </c>
      <c r="J90" s="34">
        <f t="shared" si="14"/>
        <v>26971959.407518573</v>
      </c>
      <c r="K90" s="35">
        <f>IF(D90=0,0,I90/Inputs!$C$71*(1-Inputs!$C$80)^(78/12))</f>
        <v>5.911513476053315E-3</v>
      </c>
    </row>
    <row r="91" spans="2:11" x14ac:dyDescent="0.3">
      <c r="B91" s="28">
        <v>79</v>
      </c>
      <c r="C91" s="29">
        <f>EDATE($C$12,79)</f>
        <v>47696</v>
      </c>
      <c r="D91" s="30">
        <f>IF(79&gt;Inputs!$C$78,0,J90)</f>
        <v>26971959.407518573</v>
      </c>
      <c r="E91" s="30">
        <f t="shared" si="10"/>
        <v>536541.90098659589</v>
      </c>
      <c r="F91" s="30">
        <f t="shared" si="11"/>
        <v>123621.48061779347</v>
      </c>
      <c r="G91" s="30">
        <f t="shared" si="12"/>
        <v>412920.42036880244</v>
      </c>
      <c r="H91" s="30">
        <f>IF(79=Inputs!$C$78,$C$6,0)</f>
        <v>0</v>
      </c>
      <c r="I91" s="30">
        <f t="shared" si="13"/>
        <v>536541.90098659589</v>
      </c>
      <c r="J91" s="30">
        <f t="shared" si="14"/>
        <v>26559038.987149771</v>
      </c>
      <c r="K91" s="31">
        <f>IF(D91=0,0,I91/Inputs!$C$71*(1-Inputs!$C$80)^(79/12))</f>
        <v>5.8939886255702434E-3</v>
      </c>
    </row>
    <row r="92" spans="2:11" x14ac:dyDescent="0.3">
      <c r="B92" s="32">
        <v>80</v>
      </c>
      <c r="C92" s="33">
        <f>EDATE($C$12,80)</f>
        <v>47727</v>
      </c>
      <c r="D92" s="34">
        <f>IF(80&gt;Inputs!$C$78,0,J91)</f>
        <v>26559038.987149771</v>
      </c>
      <c r="E92" s="34">
        <f t="shared" si="10"/>
        <v>536541.90098659589</v>
      </c>
      <c r="F92" s="34">
        <f t="shared" si="11"/>
        <v>121728.92869110312</v>
      </c>
      <c r="G92" s="34">
        <f t="shared" si="12"/>
        <v>414812.97229549277</v>
      </c>
      <c r="H92" s="34">
        <f>IF(80=Inputs!$C$78,$C$6,0)</f>
        <v>0</v>
      </c>
      <c r="I92" s="34">
        <f t="shared" si="13"/>
        <v>536541.90098659589</v>
      </c>
      <c r="J92" s="34">
        <f t="shared" si="14"/>
        <v>26144226.014854278</v>
      </c>
      <c r="K92" s="35">
        <f>IF(D92=0,0,I92/Inputs!$C$71*(1-Inputs!$C$80)^(80/12))</f>
        <v>5.8765157280067926E-3</v>
      </c>
    </row>
    <row r="93" spans="2:11" x14ac:dyDescent="0.3">
      <c r="B93" s="28">
        <v>81</v>
      </c>
      <c r="C93" s="29">
        <f>EDATE($C$12,81)</f>
        <v>47757</v>
      </c>
      <c r="D93" s="30">
        <f>IF(81&gt;Inputs!$C$78,0,J92)</f>
        <v>26144226.014854278</v>
      </c>
      <c r="E93" s="30">
        <f t="shared" si="10"/>
        <v>536541.90098659589</v>
      </c>
      <c r="F93" s="30">
        <f t="shared" si="11"/>
        <v>119827.70256808211</v>
      </c>
      <c r="G93" s="30">
        <f t="shared" si="12"/>
        <v>416714.19841851376</v>
      </c>
      <c r="H93" s="30">
        <f>IF(81=Inputs!$C$78,$C$6,0)</f>
        <v>0</v>
      </c>
      <c r="I93" s="30">
        <f t="shared" si="13"/>
        <v>536541.90098659589</v>
      </c>
      <c r="J93" s="30">
        <f t="shared" si="14"/>
        <v>25727511.816435765</v>
      </c>
      <c r="K93" s="31">
        <f>IF(D93=0,0,I93/Inputs!$C$71*(1-Inputs!$C$80)^(81/12))</f>
        <v>5.859094629347048E-3</v>
      </c>
    </row>
    <row r="94" spans="2:11" x14ac:dyDescent="0.3">
      <c r="B94" s="32">
        <v>82</v>
      </c>
      <c r="C94" s="33">
        <f>EDATE($C$12,82)</f>
        <v>47788</v>
      </c>
      <c r="D94" s="34">
        <f>IF(82&gt;Inputs!$C$78,0,J93)</f>
        <v>25727511.816435765</v>
      </c>
      <c r="E94" s="34">
        <f t="shared" si="10"/>
        <v>536541.90098659589</v>
      </c>
      <c r="F94" s="34">
        <f t="shared" si="11"/>
        <v>117917.76249199726</v>
      </c>
      <c r="G94" s="34">
        <f t="shared" si="12"/>
        <v>418624.13849459862</v>
      </c>
      <c r="H94" s="34">
        <f>IF(82=Inputs!$C$78,$C$6,0)</f>
        <v>0</v>
      </c>
      <c r="I94" s="34">
        <f t="shared" si="13"/>
        <v>536541.90098659589</v>
      </c>
      <c r="J94" s="34">
        <f t="shared" si="14"/>
        <v>25308887.677941166</v>
      </c>
      <c r="K94" s="35">
        <f>IF(D94=0,0,I94/Inputs!$C$71*(1-Inputs!$C$80)^(82/12))</f>
        <v>5.8417251760316813E-3</v>
      </c>
    </row>
    <row r="95" spans="2:11" x14ac:dyDescent="0.3">
      <c r="B95" s="28">
        <v>83</v>
      </c>
      <c r="C95" s="29">
        <f>EDATE($C$12,83)</f>
        <v>47818</v>
      </c>
      <c r="D95" s="30">
        <f>IF(83&gt;Inputs!$C$78,0,J94)</f>
        <v>25308887.677941166</v>
      </c>
      <c r="E95" s="30">
        <f t="shared" si="10"/>
        <v>536541.90098659589</v>
      </c>
      <c r="F95" s="30">
        <f t="shared" si="11"/>
        <v>115999.068523897</v>
      </c>
      <c r="G95" s="30">
        <f t="shared" si="12"/>
        <v>420542.83246269892</v>
      </c>
      <c r="H95" s="30">
        <f>IF(83=Inputs!$C$78,$C$6,0)</f>
        <v>0</v>
      </c>
      <c r="I95" s="30">
        <f t="shared" si="13"/>
        <v>536541.90098659589</v>
      </c>
      <c r="J95" s="30">
        <f t="shared" si="14"/>
        <v>24888344.845478468</v>
      </c>
      <c r="K95" s="31">
        <f>IF(D95=0,0,I95/Inputs!$C$71*(1-Inputs!$C$80)^(83/12))</f>
        <v>5.8244072149565944E-3</v>
      </c>
    </row>
    <row r="96" spans="2:11" x14ac:dyDescent="0.3">
      <c r="B96" s="32">
        <v>84</v>
      </c>
      <c r="C96" s="33">
        <f>EDATE($C$12,84)</f>
        <v>47849</v>
      </c>
      <c r="D96" s="34">
        <f>IF(84&gt;Inputs!$C$78,0,J95)</f>
        <v>24888344.845478468</v>
      </c>
      <c r="E96" s="34">
        <f t="shared" si="10"/>
        <v>536541.90098659589</v>
      </c>
      <c r="F96" s="34">
        <f t="shared" si="11"/>
        <v>114071.5805417763</v>
      </c>
      <c r="G96" s="34">
        <f t="shared" si="12"/>
        <v>422470.32044481958</v>
      </c>
      <c r="H96" s="34">
        <f>IF(84=Inputs!$C$78,$C$6,0)</f>
        <v>0</v>
      </c>
      <c r="I96" s="34">
        <f t="shared" si="13"/>
        <v>536541.90098659589</v>
      </c>
      <c r="J96" s="34">
        <f t="shared" si="14"/>
        <v>24465874.525033649</v>
      </c>
      <c r="K96" s="35">
        <f>IF(D96=0,0,I96/Inputs!$C$71*(1-Inputs!$C$80)^(84/12))</f>
        <v>5.8071405934715702E-3</v>
      </c>
    </row>
    <row r="97" spans="2:11" x14ac:dyDescent="0.3">
      <c r="B97" s="28">
        <v>85</v>
      </c>
      <c r="C97" s="29">
        <f>EDATE($C$12,85)</f>
        <v>47880</v>
      </c>
      <c r="D97" s="30">
        <f>IF(85&gt;Inputs!$C$78,0,J96)</f>
        <v>24465874.525033649</v>
      </c>
      <c r="E97" s="30">
        <f t="shared" si="10"/>
        <v>536541.90098659589</v>
      </c>
      <c r="F97" s="30">
        <f t="shared" si="11"/>
        <v>112135.25823973755</v>
      </c>
      <c r="G97" s="30">
        <f t="shared" si="12"/>
        <v>424406.64274685836</v>
      </c>
      <c r="H97" s="30">
        <f>IF(85=Inputs!$C$78,$C$6,0)</f>
        <v>0</v>
      </c>
      <c r="I97" s="30">
        <f t="shared" si="13"/>
        <v>536541.90098659589</v>
      </c>
      <c r="J97" s="30">
        <f t="shared" si="14"/>
        <v>24041467.882286791</v>
      </c>
      <c r="K97" s="31">
        <f>IF(D97=0,0,I97/Inputs!$C$71*(1-Inputs!$C$80)^(85/12))</f>
        <v>5.7899251593789289E-3</v>
      </c>
    </row>
    <row r="98" spans="2:11" x14ac:dyDescent="0.3">
      <c r="B98" s="32">
        <v>86</v>
      </c>
      <c r="C98" s="33">
        <f>EDATE($C$12,86)</f>
        <v>47908</v>
      </c>
      <c r="D98" s="34">
        <f>IF(86&gt;Inputs!$C$78,0,J97)</f>
        <v>24041467.882286791</v>
      </c>
      <c r="E98" s="34">
        <f t="shared" si="10"/>
        <v>536541.90098659589</v>
      </c>
      <c r="F98" s="34">
        <f t="shared" si="11"/>
        <v>110190.0611271478</v>
      </c>
      <c r="G98" s="34">
        <f t="shared" si="12"/>
        <v>426351.83985944808</v>
      </c>
      <c r="H98" s="34">
        <f>IF(86=Inputs!$C$78,$C$6,0)</f>
        <v>0</v>
      </c>
      <c r="I98" s="34">
        <f t="shared" si="13"/>
        <v>536541.90098659589</v>
      </c>
      <c r="J98" s="34">
        <f t="shared" si="14"/>
        <v>23615116.042427342</v>
      </c>
      <c r="K98" s="35">
        <f>IF(D98=0,0,I98/Inputs!$C$71*(1-Inputs!$C$80)^(86/12))</f>
        <v>5.7727607609321828E-3</v>
      </c>
    </row>
    <row r="99" spans="2:11" x14ac:dyDescent="0.3">
      <c r="B99" s="28">
        <v>87</v>
      </c>
      <c r="C99" s="29">
        <f>EDATE($C$12,87)</f>
        <v>47939</v>
      </c>
      <c r="D99" s="30">
        <f>IF(87&gt;Inputs!$C$78,0,J98)</f>
        <v>23615116.042427342</v>
      </c>
      <c r="E99" s="30">
        <f t="shared" si="10"/>
        <v>536541.90098659589</v>
      </c>
      <c r="F99" s="30">
        <f t="shared" si="11"/>
        <v>108235.94852779199</v>
      </c>
      <c r="G99" s="30">
        <f t="shared" si="12"/>
        <v>428305.95245880389</v>
      </c>
      <c r="H99" s="30">
        <f>IF(87=Inputs!$C$78,$C$6,0)</f>
        <v>0</v>
      </c>
      <c r="I99" s="30">
        <f t="shared" si="13"/>
        <v>536541.90098659589</v>
      </c>
      <c r="J99" s="30">
        <f t="shared" si="14"/>
        <v>23186810.08996854</v>
      </c>
      <c r="K99" s="31">
        <f>IF(D99=0,0,I99/Inputs!$C$71*(1-Inputs!$C$80)^(87/12))</f>
        <v>5.7556472468347037E-3</v>
      </c>
    </row>
    <row r="100" spans="2:11" x14ac:dyDescent="0.3">
      <c r="B100" s="32">
        <v>88</v>
      </c>
      <c r="C100" s="33">
        <f>EDATE($C$12,88)</f>
        <v>47969</v>
      </c>
      <c r="D100" s="34">
        <f>IF(88&gt;Inputs!$C$78,0,J99)</f>
        <v>23186810.08996854</v>
      </c>
      <c r="E100" s="34">
        <f t="shared" si="10"/>
        <v>536541.90098659589</v>
      </c>
      <c r="F100" s="34">
        <f t="shared" si="11"/>
        <v>106272.87957902247</v>
      </c>
      <c r="G100" s="34">
        <f t="shared" si="12"/>
        <v>430269.02140757343</v>
      </c>
      <c r="H100" s="34">
        <f>IF(88=Inputs!$C$78,$C$6,0)</f>
        <v>0</v>
      </c>
      <c r="I100" s="34">
        <f t="shared" si="13"/>
        <v>536541.90098659589</v>
      </c>
      <c r="J100" s="34">
        <f t="shared" si="14"/>
        <v>22756541.068560965</v>
      </c>
      <c r="K100" s="35">
        <f>IF(D100=0,0,I100/Inputs!$C$71*(1-Inputs!$C$80)^(88/12))</f>
        <v>5.7385844662383861E-3</v>
      </c>
    </row>
    <row r="101" spans="2:11" x14ac:dyDescent="0.3">
      <c r="B101" s="28">
        <v>89</v>
      </c>
      <c r="C101" s="29">
        <f>EDATE($C$12,89)</f>
        <v>48000</v>
      </c>
      <c r="D101" s="30">
        <f>IF(89&gt;Inputs!$C$78,0,J100)</f>
        <v>22756541.068560965</v>
      </c>
      <c r="E101" s="30">
        <f t="shared" si="10"/>
        <v>536541.90098659589</v>
      </c>
      <c r="F101" s="30">
        <f t="shared" si="11"/>
        <v>104300.81323090443</v>
      </c>
      <c r="G101" s="30">
        <f t="shared" si="12"/>
        <v>432241.08775569149</v>
      </c>
      <c r="H101" s="30">
        <f>IF(89=Inputs!$C$78,$C$6,0)</f>
        <v>0</v>
      </c>
      <c r="I101" s="30">
        <f t="shared" si="13"/>
        <v>536541.90098659589</v>
      </c>
      <c r="J101" s="30">
        <f t="shared" si="14"/>
        <v>22324299.980805274</v>
      </c>
      <c r="K101" s="31">
        <f>IF(D101=0,0,I101/Inputs!$C$71*(1-Inputs!$C$80)^(89/12))</f>
        <v>5.721572268742316E-3</v>
      </c>
    </row>
    <row r="102" spans="2:11" x14ac:dyDescent="0.3">
      <c r="B102" s="32">
        <v>90</v>
      </c>
      <c r="C102" s="33">
        <f>EDATE($C$12,90)</f>
        <v>48030</v>
      </c>
      <c r="D102" s="34">
        <f>IF(90&gt;Inputs!$C$78,0,J101)</f>
        <v>22324299.980805274</v>
      </c>
      <c r="E102" s="34">
        <f t="shared" si="10"/>
        <v>536541.90098659589</v>
      </c>
      <c r="F102" s="34">
        <f t="shared" si="11"/>
        <v>102319.70824535751</v>
      </c>
      <c r="G102" s="34">
        <f t="shared" si="12"/>
        <v>434222.1927412384</v>
      </c>
      <c r="H102" s="34">
        <f>IF(90=Inputs!$C$78,$C$6,0)</f>
        <v>0</v>
      </c>
      <c r="I102" s="34">
        <f t="shared" si="13"/>
        <v>536541.90098659589</v>
      </c>
      <c r="J102" s="34">
        <f t="shared" si="14"/>
        <v>21890077.788064037</v>
      </c>
      <c r="K102" s="35">
        <f>IF(D102=0,0,I102/Inputs!$C$71*(1-Inputs!$C$80)^(90/12))</f>
        <v>5.7046105043914485E-3</v>
      </c>
    </row>
    <row r="103" spans="2:11" x14ac:dyDescent="0.3">
      <c r="B103" s="28">
        <v>91</v>
      </c>
      <c r="C103" s="29">
        <f>EDATE($C$12,91)</f>
        <v>48061</v>
      </c>
      <c r="D103" s="30">
        <f>IF(91&gt;Inputs!$C$78,0,J102)</f>
        <v>21890077.788064037</v>
      </c>
      <c r="E103" s="30">
        <f t="shared" si="10"/>
        <v>536541.90098659589</v>
      </c>
      <c r="F103" s="30">
        <f t="shared" si="11"/>
        <v>100329.5231952935</v>
      </c>
      <c r="G103" s="30">
        <f t="shared" si="12"/>
        <v>436212.3777913024</v>
      </c>
      <c r="H103" s="30">
        <f>IF(91=Inputs!$C$78,$C$6,0)</f>
        <v>0</v>
      </c>
      <c r="I103" s="30">
        <f t="shared" si="13"/>
        <v>536541.90098659589</v>
      </c>
      <c r="J103" s="30">
        <f t="shared" si="14"/>
        <v>21453865.410272732</v>
      </c>
      <c r="K103" s="31">
        <f>IF(D103=0,0,I103/Inputs!$C$71*(1-Inputs!$C$80)^(91/12))</f>
        <v>5.6876990236752849E-3</v>
      </c>
    </row>
    <row r="104" spans="2:11" x14ac:dyDescent="0.3">
      <c r="B104" s="32">
        <v>92</v>
      </c>
      <c r="C104" s="33">
        <f>EDATE($C$12,92)</f>
        <v>48092</v>
      </c>
      <c r="D104" s="34">
        <f>IF(92&gt;Inputs!$C$78,0,J103)</f>
        <v>21453865.410272732</v>
      </c>
      <c r="E104" s="34">
        <f t="shared" si="10"/>
        <v>536541.90098659589</v>
      </c>
      <c r="F104" s="34">
        <f t="shared" si="11"/>
        <v>98330.216463750025</v>
      </c>
      <c r="G104" s="34">
        <f t="shared" si="12"/>
        <v>438211.6845228459</v>
      </c>
      <c r="H104" s="34">
        <f>IF(92=Inputs!$C$78,$C$6,0)</f>
        <v>0</v>
      </c>
      <c r="I104" s="34">
        <f t="shared" si="13"/>
        <v>536541.90098659589</v>
      </c>
      <c r="J104" s="34">
        <f t="shared" si="14"/>
        <v>21015653.725749888</v>
      </c>
      <c r="K104" s="35">
        <f>IF(D104=0,0,I104/Inputs!$C$71*(1-Inputs!$C$80)^(92/12))</f>
        <v>5.6708376775265554E-3</v>
      </c>
    </row>
    <row r="105" spans="2:11" x14ac:dyDescent="0.3">
      <c r="B105" s="28">
        <v>93</v>
      </c>
      <c r="C105" s="29">
        <f>EDATE($C$12,93)</f>
        <v>48122</v>
      </c>
      <c r="D105" s="30">
        <f>IF(93&gt;Inputs!$C$78,0,J104)</f>
        <v>21015653.725749888</v>
      </c>
      <c r="E105" s="30">
        <f t="shared" si="10"/>
        <v>536541.90098659589</v>
      </c>
      <c r="F105" s="30">
        <f t="shared" si="11"/>
        <v>96321.746243020316</v>
      </c>
      <c r="G105" s="30">
        <f t="shared" si="12"/>
        <v>440220.15474357561</v>
      </c>
      <c r="H105" s="30">
        <f>IF(93=Inputs!$C$78,$C$6,0)</f>
        <v>0</v>
      </c>
      <c r="I105" s="30">
        <f t="shared" si="13"/>
        <v>536541.90098659589</v>
      </c>
      <c r="J105" s="30">
        <f t="shared" si="14"/>
        <v>20575433.571006313</v>
      </c>
      <c r="K105" s="31">
        <f>IF(D105=0,0,I105/Inputs!$C$71*(1-Inputs!$C$80)^(93/12))</f>
        <v>5.6540263173199025E-3</v>
      </c>
    </row>
    <row r="106" spans="2:11" x14ac:dyDescent="0.3">
      <c r="B106" s="32">
        <v>94</v>
      </c>
      <c r="C106" s="33">
        <f>EDATE($C$12,94)</f>
        <v>48153</v>
      </c>
      <c r="D106" s="34">
        <f>IF(94&gt;Inputs!$C$78,0,J105)</f>
        <v>20575433.571006313</v>
      </c>
      <c r="E106" s="34">
        <f t="shared" si="10"/>
        <v>536541.90098659589</v>
      </c>
      <c r="F106" s="34">
        <f t="shared" si="11"/>
        <v>94304.07053377894</v>
      </c>
      <c r="G106" s="34">
        <f t="shared" si="12"/>
        <v>442237.83045281697</v>
      </c>
      <c r="H106" s="34">
        <f>IF(94=Inputs!$C$78,$C$6,0)</f>
        <v>0</v>
      </c>
      <c r="I106" s="34">
        <f t="shared" si="13"/>
        <v>536541.90098659589</v>
      </c>
      <c r="J106" s="34">
        <f t="shared" si="14"/>
        <v>20133195.740553495</v>
      </c>
      <c r="K106" s="35">
        <f>IF(D106=0,0,I106/Inputs!$C$71*(1-Inputs!$C$80)^(94/12))</f>
        <v>5.6372647948705733E-3</v>
      </c>
    </row>
    <row r="107" spans="2:11" x14ac:dyDescent="0.3">
      <c r="B107" s="28">
        <v>95</v>
      </c>
      <c r="C107" s="29">
        <f>EDATE($C$12,95)</f>
        <v>48183</v>
      </c>
      <c r="D107" s="30">
        <f>IF(95&gt;Inputs!$C$78,0,J106)</f>
        <v>20133195.740553495</v>
      </c>
      <c r="E107" s="30">
        <f t="shared" si="10"/>
        <v>536541.90098659589</v>
      </c>
      <c r="F107" s="30">
        <f t="shared" si="11"/>
        <v>92277.147144203511</v>
      </c>
      <c r="G107" s="30">
        <f t="shared" si="12"/>
        <v>444264.75384239235</v>
      </c>
      <c r="H107" s="30">
        <f>IF(95=Inputs!$C$78,$C$6,0)</f>
        <v>0</v>
      </c>
      <c r="I107" s="30">
        <f t="shared" si="13"/>
        <v>536541.90098659589</v>
      </c>
      <c r="J107" s="30">
        <f t="shared" si="14"/>
        <v>19688930.986711103</v>
      </c>
      <c r="K107" s="31">
        <f>IF(D107=0,0,I107/Inputs!$C$71*(1-Inputs!$C$80)^(95/12))</f>
        <v>5.6205529624331133E-3</v>
      </c>
    </row>
    <row r="108" spans="2:11" x14ac:dyDescent="0.3">
      <c r="B108" s="32">
        <v>96</v>
      </c>
      <c r="C108" s="33">
        <f>EDATE($C$12,96)</f>
        <v>48214</v>
      </c>
      <c r="D108" s="34">
        <f>IF(96&gt;Inputs!$C$78,0,J107)</f>
        <v>19688930.986711103</v>
      </c>
      <c r="E108" s="34">
        <f t="shared" si="10"/>
        <v>536541.90098659589</v>
      </c>
      <c r="F108" s="34">
        <f t="shared" si="11"/>
        <v>90240.933689092562</v>
      </c>
      <c r="G108" s="34">
        <f t="shared" si="12"/>
        <v>446300.96729750332</v>
      </c>
      <c r="H108" s="34">
        <f>IF(96=Inputs!$C$78,$C$6,0)</f>
        <v>0</v>
      </c>
      <c r="I108" s="34">
        <f t="shared" si="13"/>
        <v>536541.90098659589</v>
      </c>
      <c r="J108" s="34">
        <f t="shared" si="14"/>
        <v>19242630.019413602</v>
      </c>
      <c r="K108" s="35">
        <f>IF(D108=0,0,I108/Inputs!$C$71*(1-Inputs!$C$80)^(96/12))</f>
        <v>5.6038906727000652E-3</v>
      </c>
    </row>
    <row r="109" spans="2:11" x14ac:dyDescent="0.3">
      <c r="B109" s="28">
        <v>97</v>
      </c>
      <c r="C109" s="29">
        <f>EDATE($C$12,97)</f>
        <v>48245</v>
      </c>
      <c r="D109" s="30">
        <f>IF(97&gt;Inputs!$C$78,0,J108)</f>
        <v>19242630.019413602</v>
      </c>
      <c r="E109" s="30">
        <f t="shared" ref="E109:E140" si="15">IF(D109=0,0,MIN($C$8,D109+F109))</f>
        <v>536541.90098659589</v>
      </c>
      <c r="F109" s="30">
        <f t="shared" ref="F109:F140" si="16">IF(D109=0,0,D109*$C$7)</f>
        <v>88195.387588979007</v>
      </c>
      <c r="G109" s="30">
        <f t="shared" ref="G109:G140" si="17">IF(D109=0,0,E109-F109)</f>
        <v>448346.51339761692</v>
      </c>
      <c r="H109" s="30">
        <f>IF(97=Inputs!$C$78,$C$6,0)</f>
        <v>0</v>
      </c>
      <c r="I109" s="30">
        <f t="shared" ref="I109:I140" si="18">IF(D109=0,0,E109+H109)</f>
        <v>536541.90098659589</v>
      </c>
      <c r="J109" s="30">
        <f t="shared" ref="J109:J140" si="19">IF(D109=0,0,MAX(0,D109-G109-H109))</f>
        <v>18794283.506015986</v>
      </c>
      <c r="K109" s="31">
        <f>IF(D109=0,0,I109/Inputs!$C$71*(1-Inputs!$C$80)^(97/12))</f>
        <v>5.5872777788006653E-3</v>
      </c>
    </row>
    <row r="110" spans="2:11" x14ac:dyDescent="0.3">
      <c r="B110" s="32">
        <v>98</v>
      </c>
      <c r="C110" s="33">
        <f>EDATE($C$12,98)</f>
        <v>48274</v>
      </c>
      <c r="D110" s="34">
        <f>IF(98&gt;Inputs!$C$78,0,J109)</f>
        <v>18794283.506015986</v>
      </c>
      <c r="E110" s="34">
        <f t="shared" si="15"/>
        <v>536541.90098659589</v>
      </c>
      <c r="F110" s="34">
        <f t="shared" si="16"/>
        <v>86140.466069239934</v>
      </c>
      <c r="G110" s="34">
        <f t="shared" si="17"/>
        <v>450401.43491735595</v>
      </c>
      <c r="H110" s="34">
        <f>IF(98=Inputs!$C$78,$C$6,0)</f>
        <v>0</v>
      </c>
      <c r="I110" s="34">
        <f t="shared" si="18"/>
        <v>536541.90098659589</v>
      </c>
      <c r="J110" s="34">
        <f t="shared" si="19"/>
        <v>18343882.071098629</v>
      </c>
      <c r="K110" s="35">
        <f>IF(D110=0,0,I110/Inputs!$C$71*(1-Inputs!$C$80)^(98/12))</f>
        <v>5.5707141342995559E-3</v>
      </c>
    </row>
    <row r="111" spans="2:11" x14ac:dyDescent="0.3">
      <c r="B111" s="28">
        <v>99</v>
      </c>
      <c r="C111" s="29">
        <f>EDATE($C$12,99)</f>
        <v>48305</v>
      </c>
      <c r="D111" s="30">
        <f>IF(99&gt;Inputs!$C$78,0,J110)</f>
        <v>18343882.071098629</v>
      </c>
      <c r="E111" s="30">
        <f t="shared" si="15"/>
        <v>536541.90098659589</v>
      </c>
      <c r="F111" s="30">
        <f t="shared" si="16"/>
        <v>84076.126159202046</v>
      </c>
      <c r="G111" s="30">
        <f t="shared" si="17"/>
        <v>452465.77482739382</v>
      </c>
      <c r="H111" s="30">
        <f>IF(99=Inputs!$C$78,$C$6,0)</f>
        <v>0</v>
      </c>
      <c r="I111" s="30">
        <f t="shared" si="18"/>
        <v>536541.90098659589</v>
      </c>
      <c r="J111" s="30">
        <f t="shared" si="19"/>
        <v>17891416.296271235</v>
      </c>
      <c r="K111" s="31">
        <f>IF(D111=0,0,I111/Inputs!$C$71*(1-Inputs!$C$80)^(99/12))</f>
        <v>5.5541995931954894E-3</v>
      </c>
    </row>
    <row r="112" spans="2:11" x14ac:dyDescent="0.3">
      <c r="B112" s="32">
        <v>100</v>
      </c>
      <c r="C112" s="33">
        <f>EDATE($C$12,100)</f>
        <v>48335</v>
      </c>
      <c r="D112" s="34">
        <f>IF(100&gt;Inputs!$C$78,0,J111)</f>
        <v>17891416.296271235</v>
      </c>
      <c r="E112" s="34">
        <f t="shared" si="15"/>
        <v>536541.90098659589</v>
      </c>
      <c r="F112" s="34">
        <f t="shared" si="16"/>
        <v>82002.324691243164</v>
      </c>
      <c r="G112" s="34">
        <f t="shared" si="17"/>
        <v>454539.57629535272</v>
      </c>
      <c r="H112" s="34">
        <f>IF(100=Inputs!$C$78,$C$6,0)</f>
        <v>0</v>
      </c>
      <c r="I112" s="34">
        <f t="shared" si="18"/>
        <v>536541.90098659589</v>
      </c>
      <c r="J112" s="34">
        <f t="shared" si="19"/>
        <v>17436876.719975881</v>
      </c>
      <c r="K112" s="35">
        <f>IF(D112=0,0,I112/Inputs!$C$71*(1-Inputs!$C$80)^(100/12))</f>
        <v>5.5377340099200421E-3</v>
      </c>
    </row>
    <row r="113" spans="2:11" x14ac:dyDescent="0.3">
      <c r="B113" s="28">
        <v>101</v>
      </c>
      <c r="C113" s="29">
        <f>EDATE($C$12,101)</f>
        <v>48366</v>
      </c>
      <c r="D113" s="30">
        <f>IF(101&gt;Inputs!$C$78,0,J112)</f>
        <v>17436876.719975881</v>
      </c>
      <c r="E113" s="30">
        <f t="shared" si="15"/>
        <v>536541.90098659589</v>
      </c>
      <c r="F113" s="30">
        <f t="shared" si="16"/>
        <v>79919.01829988946</v>
      </c>
      <c r="G113" s="30">
        <f t="shared" si="17"/>
        <v>456622.88268670643</v>
      </c>
      <c r="H113" s="30">
        <f>IF(101=Inputs!$C$78,$C$6,0)</f>
        <v>0</v>
      </c>
      <c r="I113" s="30">
        <f t="shared" si="18"/>
        <v>536541.90098659589</v>
      </c>
      <c r="J113" s="30">
        <f t="shared" si="19"/>
        <v>16980253.837289173</v>
      </c>
      <c r="K113" s="31">
        <f>IF(D113=0,0,I113/Inputs!$C$71*(1-Inputs!$C$80)^(101/12))</f>
        <v>5.5213172393363341E-3</v>
      </c>
    </row>
    <row r="114" spans="2:11" x14ac:dyDescent="0.3">
      <c r="B114" s="32">
        <v>102</v>
      </c>
      <c r="C114" s="33">
        <f>EDATE($C$12,102)</f>
        <v>48396</v>
      </c>
      <c r="D114" s="34">
        <f>IF(102&gt;Inputs!$C$78,0,J113)</f>
        <v>16980253.837289173</v>
      </c>
      <c r="E114" s="34">
        <f t="shared" si="15"/>
        <v>536541.90098659589</v>
      </c>
      <c r="F114" s="34">
        <f t="shared" si="16"/>
        <v>77826.163420908706</v>
      </c>
      <c r="G114" s="34">
        <f t="shared" si="17"/>
        <v>458715.73756568716</v>
      </c>
      <c r="H114" s="34">
        <f>IF(102=Inputs!$C$78,$C$6,0)</f>
        <v>0</v>
      </c>
      <c r="I114" s="34">
        <f t="shared" si="18"/>
        <v>536541.90098659589</v>
      </c>
      <c r="J114" s="34">
        <f t="shared" si="19"/>
        <v>16521538.099723486</v>
      </c>
      <c r="K114" s="35">
        <f>IF(D114=0,0,I114/Inputs!$C$71*(1-Inputs!$C$80)^(102/12))</f>
        <v>5.5049491367377473E-3</v>
      </c>
    </row>
    <row r="115" spans="2:11" x14ac:dyDescent="0.3">
      <c r="B115" s="28">
        <v>103</v>
      </c>
      <c r="C115" s="29">
        <f>EDATE($C$12,103)</f>
        <v>48427</v>
      </c>
      <c r="D115" s="30">
        <f>IF(103&gt;Inputs!$C$78,0,J114)</f>
        <v>16521538.099723486</v>
      </c>
      <c r="E115" s="30">
        <f t="shared" si="15"/>
        <v>536541.90098659589</v>
      </c>
      <c r="F115" s="30">
        <f t="shared" si="16"/>
        <v>75723.716290399316</v>
      </c>
      <c r="G115" s="30">
        <f t="shared" si="17"/>
        <v>460818.18469619658</v>
      </c>
      <c r="H115" s="30">
        <f>IF(103=Inputs!$C$78,$C$6,0)</f>
        <v>0</v>
      </c>
      <c r="I115" s="30">
        <f t="shared" si="18"/>
        <v>536541.90098659589</v>
      </c>
      <c r="J115" s="30">
        <f t="shared" si="19"/>
        <v>16060719.915027291</v>
      </c>
      <c r="K115" s="31">
        <f>IF(D115=0,0,I115/Inputs!$C$71*(1-Inputs!$C$80)^(103/12))</f>
        <v>5.48862955784665E-3</v>
      </c>
    </row>
    <row r="116" spans="2:11" x14ac:dyDescent="0.3">
      <c r="B116" s="32">
        <v>104</v>
      </c>
      <c r="C116" s="33">
        <f>EDATE($C$12,104)</f>
        <v>48458</v>
      </c>
      <c r="D116" s="34">
        <f>IF(104&gt;Inputs!$C$78,0,J115)</f>
        <v>16060719.915027291</v>
      </c>
      <c r="E116" s="34">
        <f t="shared" si="15"/>
        <v>536541.90098659589</v>
      </c>
      <c r="F116" s="34">
        <f t="shared" si="16"/>
        <v>73611.632943875084</v>
      </c>
      <c r="G116" s="34">
        <f t="shared" si="17"/>
        <v>462930.2680427208</v>
      </c>
      <c r="H116" s="34">
        <f>IF(104=Inputs!$C$78,$C$6,0)</f>
        <v>0</v>
      </c>
      <c r="I116" s="34">
        <f t="shared" si="18"/>
        <v>536541.90098659589</v>
      </c>
      <c r="J116" s="34">
        <f t="shared" si="19"/>
        <v>15597789.64698457</v>
      </c>
      <c r="K116" s="35">
        <f>IF(D116=0,0,I116/Inputs!$C$71*(1-Inputs!$C$80)^(104/12))</f>
        <v>5.4723583588131251E-3</v>
      </c>
    </row>
    <row r="117" spans="2:11" x14ac:dyDescent="0.3">
      <c r="B117" s="28">
        <v>105</v>
      </c>
      <c r="C117" s="29">
        <f>EDATE($C$12,105)</f>
        <v>48488</v>
      </c>
      <c r="D117" s="30">
        <f>IF(105&gt;Inputs!$C$78,0,J116)</f>
        <v>15597789.64698457</v>
      </c>
      <c r="E117" s="30">
        <f t="shared" si="15"/>
        <v>536541.90098659589</v>
      </c>
      <c r="F117" s="30">
        <f t="shared" si="16"/>
        <v>71489.869215345941</v>
      </c>
      <c r="G117" s="30">
        <f t="shared" si="17"/>
        <v>465052.03177124995</v>
      </c>
      <c r="H117" s="30">
        <f>IF(105=Inputs!$C$78,$C$6,0)</f>
        <v>0</v>
      </c>
      <c r="I117" s="30">
        <f t="shared" si="18"/>
        <v>536541.90098659589</v>
      </c>
      <c r="J117" s="30">
        <f t="shared" si="19"/>
        <v>15132737.61521332</v>
      </c>
      <c r="K117" s="31">
        <f>IF(D117=0,0,I117/Inputs!$C$71*(1-Inputs!$C$80)^(105/12))</f>
        <v>5.4561353962137051E-3</v>
      </c>
    </row>
    <row r="118" spans="2:11" x14ac:dyDescent="0.3">
      <c r="B118" s="32">
        <v>106</v>
      </c>
      <c r="C118" s="33">
        <f>EDATE($C$12,106)</f>
        <v>48519</v>
      </c>
      <c r="D118" s="34">
        <f>IF(106&gt;Inputs!$C$78,0,J117)</f>
        <v>15132737.61521332</v>
      </c>
      <c r="E118" s="34">
        <f t="shared" si="15"/>
        <v>536541.90098659589</v>
      </c>
      <c r="F118" s="34">
        <f t="shared" si="16"/>
        <v>69358.380736394378</v>
      </c>
      <c r="G118" s="34">
        <f t="shared" si="17"/>
        <v>467183.52025020152</v>
      </c>
      <c r="H118" s="34">
        <f>IF(106=Inputs!$C$78,$C$6,0)</f>
        <v>0</v>
      </c>
      <c r="I118" s="34">
        <f t="shared" si="18"/>
        <v>536541.90098659589</v>
      </c>
      <c r="J118" s="34">
        <f t="shared" si="19"/>
        <v>14665554.094963118</v>
      </c>
      <c r="K118" s="35">
        <f>IF(D118=0,0,I118/Inputs!$C$71*(1-Inputs!$C$80)^(106/12))</f>
        <v>5.4399605270501021E-3</v>
      </c>
    </row>
    <row r="119" spans="2:11" x14ac:dyDescent="0.3">
      <c r="B119" s="28">
        <v>107</v>
      </c>
      <c r="C119" s="29">
        <f>EDATE($C$12,107)</f>
        <v>48549</v>
      </c>
      <c r="D119" s="30">
        <f>IF(107&gt;Inputs!$C$78,0,J118)</f>
        <v>14665554.094963118</v>
      </c>
      <c r="E119" s="30">
        <f t="shared" si="15"/>
        <v>536541.90098659589</v>
      </c>
      <c r="F119" s="30">
        <f t="shared" si="16"/>
        <v>67217.122935247622</v>
      </c>
      <c r="G119" s="30">
        <f t="shared" si="17"/>
        <v>469324.77805134829</v>
      </c>
      <c r="H119" s="30">
        <f>IF(107=Inputs!$C$78,$C$6,0)</f>
        <v>0</v>
      </c>
      <c r="I119" s="30">
        <f t="shared" si="18"/>
        <v>536541.90098659589</v>
      </c>
      <c r="J119" s="30">
        <f t="shared" si="19"/>
        <v>14196229.31691177</v>
      </c>
      <c r="K119" s="31">
        <f>IF(D119=0,0,I119/Inputs!$C$71*(1-Inputs!$C$80)^(107/12))</f>
        <v>5.4238336087479543E-3</v>
      </c>
    </row>
    <row r="120" spans="2:11" x14ac:dyDescent="0.3">
      <c r="B120" s="32">
        <v>108</v>
      </c>
      <c r="C120" s="33">
        <f>EDATE($C$12,108)</f>
        <v>48580</v>
      </c>
      <c r="D120" s="34">
        <f>IF(108&gt;Inputs!$C$78,0,J119)</f>
        <v>14196229.31691177</v>
      </c>
      <c r="E120" s="34">
        <f t="shared" si="15"/>
        <v>536541.90098659589</v>
      </c>
      <c r="F120" s="34">
        <f t="shared" si="16"/>
        <v>65066.051035845616</v>
      </c>
      <c r="G120" s="34">
        <f t="shared" si="17"/>
        <v>471475.8499507503</v>
      </c>
      <c r="H120" s="34">
        <f>IF(108=Inputs!$C$78,$C$6,0)</f>
        <v>0</v>
      </c>
      <c r="I120" s="34">
        <f t="shared" si="18"/>
        <v>536541.90098659589</v>
      </c>
      <c r="J120" s="34">
        <f t="shared" si="19"/>
        <v>13724753.466961021</v>
      </c>
      <c r="K120" s="35">
        <f>IF(D120=0,0,I120/Inputs!$C$71*(1-Inputs!$C$80)^(108/12))</f>
        <v>5.4077544991555622E-3</v>
      </c>
    </row>
    <row r="121" spans="2:11" x14ac:dyDescent="0.3">
      <c r="B121" s="28">
        <v>109</v>
      </c>
      <c r="C121" s="29">
        <f>EDATE($C$12,109)</f>
        <v>48611</v>
      </c>
      <c r="D121" s="30">
        <f>IF(109&gt;Inputs!$C$78,0,J120)</f>
        <v>13724753.466961021</v>
      </c>
      <c r="E121" s="30">
        <f t="shared" si="15"/>
        <v>536541.90098659589</v>
      </c>
      <c r="F121" s="30">
        <f t="shared" si="16"/>
        <v>62905.120056904678</v>
      </c>
      <c r="G121" s="30">
        <f t="shared" si="17"/>
        <v>473636.78092969122</v>
      </c>
      <c r="H121" s="30">
        <f>IF(109=Inputs!$C$78,$C$6,0)</f>
        <v>0</v>
      </c>
      <c r="I121" s="30">
        <f t="shared" si="18"/>
        <v>536541.90098659589</v>
      </c>
      <c r="J121" s="30">
        <f t="shared" si="19"/>
        <v>13251116.686031329</v>
      </c>
      <c r="K121" s="31">
        <f>IF(D121=0,0,I121/Inputs!$C$71*(1-Inputs!$C$80)^(109/12))</f>
        <v>5.3917230565426423E-3</v>
      </c>
    </row>
    <row r="122" spans="2:11" x14ac:dyDescent="0.3">
      <c r="B122" s="32">
        <v>110</v>
      </c>
      <c r="C122" s="33">
        <f>EDATE($C$12,110)</f>
        <v>48639</v>
      </c>
      <c r="D122" s="34">
        <f>IF(110&gt;Inputs!$C$78,0,J121)</f>
        <v>13251116.686031329</v>
      </c>
      <c r="E122" s="34">
        <f t="shared" si="15"/>
        <v>536541.90098659589</v>
      </c>
      <c r="F122" s="34">
        <f t="shared" si="16"/>
        <v>60734.284810976926</v>
      </c>
      <c r="G122" s="34">
        <f t="shared" si="17"/>
        <v>475807.61617561895</v>
      </c>
      <c r="H122" s="34">
        <f>IF(110=Inputs!$C$78,$C$6,0)</f>
        <v>0</v>
      </c>
      <c r="I122" s="34">
        <f t="shared" si="18"/>
        <v>536541.90098659589</v>
      </c>
      <c r="J122" s="34">
        <f t="shared" si="19"/>
        <v>12775309.069855709</v>
      </c>
      <c r="K122" s="35">
        <f>IF(D122=0,0,I122/Inputs!$C$71*(1-Inputs!$C$80)^(110/12))</f>
        <v>5.3757391395990711E-3</v>
      </c>
    </row>
    <row r="123" spans="2:11" x14ac:dyDescent="0.3">
      <c r="B123" s="28">
        <v>111</v>
      </c>
      <c r="C123" s="29">
        <f>EDATE($C$12,111)</f>
        <v>48670</v>
      </c>
      <c r="D123" s="30">
        <f>IF(111&gt;Inputs!$C$78,0,J122)</f>
        <v>12775309.069855709</v>
      </c>
      <c r="E123" s="30">
        <f t="shared" si="15"/>
        <v>536541.90098659589</v>
      </c>
      <c r="F123" s="30">
        <f t="shared" si="16"/>
        <v>58553.499903505333</v>
      </c>
      <c r="G123" s="30">
        <f t="shared" si="17"/>
        <v>477988.40108309058</v>
      </c>
      <c r="H123" s="30">
        <f>IF(111=Inputs!$C$78,$C$6,0)</f>
        <v>0</v>
      </c>
      <c r="I123" s="30">
        <f t="shared" si="18"/>
        <v>536541.90098659589</v>
      </c>
      <c r="J123" s="30">
        <f t="shared" si="19"/>
        <v>12297320.668772617</v>
      </c>
      <c r="K123" s="31">
        <f>IF(D123=0,0,I123/Inputs!$C$71*(1-Inputs!$C$80)^(111/12))</f>
        <v>5.3598026074336471E-3</v>
      </c>
    </row>
    <row r="124" spans="2:11" x14ac:dyDescent="0.3">
      <c r="B124" s="32">
        <v>112</v>
      </c>
      <c r="C124" s="33">
        <f>EDATE($C$12,112)</f>
        <v>48700</v>
      </c>
      <c r="D124" s="34">
        <f>IF(112&gt;Inputs!$C$78,0,J123)</f>
        <v>12297320.668772617</v>
      </c>
      <c r="E124" s="34">
        <f t="shared" si="15"/>
        <v>536541.90098659589</v>
      </c>
      <c r="F124" s="34">
        <f t="shared" si="16"/>
        <v>56362.719731874495</v>
      </c>
      <c r="G124" s="34">
        <f t="shared" si="17"/>
        <v>480179.18125472142</v>
      </c>
      <c r="H124" s="34">
        <f>IF(112=Inputs!$C$78,$C$6,0)</f>
        <v>0</v>
      </c>
      <c r="I124" s="34">
        <f t="shared" si="18"/>
        <v>536541.90098659589</v>
      </c>
      <c r="J124" s="34">
        <f t="shared" si="19"/>
        <v>11817141.487517895</v>
      </c>
      <c r="K124" s="35">
        <f>IF(D124=0,0,I124/Inputs!$C$71*(1-Inputs!$C$80)^(112/12))</f>
        <v>5.34391331957284E-3</v>
      </c>
    </row>
    <row r="125" spans="2:11" x14ac:dyDescent="0.3">
      <c r="B125" s="28">
        <v>113</v>
      </c>
      <c r="C125" s="29">
        <f>EDATE($C$12,113)</f>
        <v>48731</v>
      </c>
      <c r="D125" s="30">
        <f>IF(113&gt;Inputs!$C$78,0,J124)</f>
        <v>11817141.487517895</v>
      </c>
      <c r="E125" s="30">
        <f t="shared" si="15"/>
        <v>536541.90098659589</v>
      </c>
      <c r="F125" s="30">
        <f t="shared" si="16"/>
        <v>54161.898484457022</v>
      </c>
      <c r="G125" s="30">
        <f t="shared" si="17"/>
        <v>482380.00250213884</v>
      </c>
      <c r="H125" s="30">
        <f>IF(113=Inputs!$C$78,$C$6,0)</f>
        <v>0</v>
      </c>
      <c r="I125" s="30">
        <f t="shared" si="18"/>
        <v>536541.90098659589</v>
      </c>
      <c r="J125" s="30">
        <f t="shared" si="19"/>
        <v>11334761.485015756</v>
      </c>
      <c r="K125" s="31">
        <f>IF(D125=0,0,I125/Inputs!$C$71*(1-Inputs!$C$80)^(113/12))</f>
        <v>5.3280711359595632E-3</v>
      </c>
    </row>
    <row r="126" spans="2:11" x14ac:dyDescent="0.3">
      <c r="B126" s="32">
        <v>114</v>
      </c>
      <c r="C126" s="33">
        <f>EDATE($C$12,114)</f>
        <v>48761</v>
      </c>
      <c r="D126" s="34">
        <f>IF(114&gt;Inputs!$C$78,0,J125)</f>
        <v>11334761.485015756</v>
      </c>
      <c r="E126" s="34">
        <f t="shared" si="15"/>
        <v>536541.90098659589</v>
      </c>
      <c r="F126" s="34">
        <f t="shared" si="16"/>
        <v>51950.990139655543</v>
      </c>
      <c r="G126" s="34">
        <f t="shared" si="17"/>
        <v>484590.91084694036</v>
      </c>
      <c r="H126" s="34">
        <f>IF(114=Inputs!$C$78,$C$6,0)</f>
        <v>0</v>
      </c>
      <c r="I126" s="34">
        <f t="shared" si="18"/>
        <v>536541.90098659589</v>
      </c>
      <c r="J126" s="34">
        <f t="shared" si="19"/>
        <v>10850170.574168814</v>
      </c>
      <c r="K126" s="35">
        <f>IF(D126=0,0,I126/Inputs!$C$71*(1-Inputs!$C$80)^(114/12))</f>
        <v>5.3122759169519267E-3</v>
      </c>
    </row>
    <row r="127" spans="2:11" x14ac:dyDescent="0.3">
      <c r="B127" s="28">
        <v>115</v>
      </c>
      <c r="C127" s="29">
        <f>EDATE($C$12,115)</f>
        <v>48792</v>
      </c>
      <c r="D127" s="30">
        <f>IF(115&gt;Inputs!$C$78,0,J126)</f>
        <v>10850170.574168814</v>
      </c>
      <c r="E127" s="30">
        <f t="shared" si="15"/>
        <v>536541.90098659589</v>
      </c>
      <c r="F127" s="30">
        <f t="shared" si="16"/>
        <v>49729.948464940397</v>
      </c>
      <c r="G127" s="30">
        <f t="shared" si="17"/>
        <v>486811.95252165548</v>
      </c>
      <c r="H127" s="30">
        <f>IF(115=Inputs!$C$78,$C$6,0)</f>
        <v>0</v>
      </c>
      <c r="I127" s="30">
        <f t="shared" si="18"/>
        <v>536541.90098659589</v>
      </c>
      <c r="J127" s="30">
        <f t="shared" si="19"/>
        <v>10363358.621647159</v>
      </c>
      <c r="K127" s="31">
        <f>IF(D127=0,0,I127/Inputs!$C$71*(1-Inputs!$C$80)^(115/12))</f>
        <v>5.2965275233220165E-3</v>
      </c>
    </row>
    <row r="128" spans="2:11" x14ac:dyDescent="0.3">
      <c r="B128" s="32">
        <v>116</v>
      </c>
      <c r="C128" s="33">
        <f>EDATE($C$12,116)</f>
        <v>48823</v>
      </c>
      <c r="D128" s="34">
        <f>IF(116&gt;Inputs!$C$78,0,J127)</f>
        <v>10363358.621647159</v>
      </c>
      <c r="E128" s="34">
        <f t="shared" si="15"/>
        <v>536541.90098659589</v>
      </c>
      <c r="F128" s="34">
        <f t="shared" si="16"/>
        <v>47498.727015882811</v>
      </c>
      <c r="G128" s="34">
        <f t="shared" si="17"/>
        <v>489043.17397071311</v>
      </c>
      <c r="H128" s="34">
        <f>IF(116=Inputs!$C$78,$C$6,0)</f>
        <v>0</v>
      </c>
      <c r="I128" s="34">
        <f t="shared" si="18"/>
        <v>536541.90098659589</v>
      </c>
      <c r="J128" s="34">
        <f t="shared" si="19"/>
        <v>9874315.4476764463</v>
      </c>
      <c r="K128" s="35">
        <f>IF(D128=0,0,I128/Inputs!$C$71*(1-Inputs!$C$80)^(116/12))</f>
        <v>5.2808258162546666E-3</v>
      </c>
    </row>
    <row r="129" spans="2:11" x14ac:dyDescent="0.3">
      <c r="B129" s="28">
        <v>117</v>
      </c>
      <c r="C129" s="29">
        <f>EDATE($C$12,117)</f>
        <v>48853</v>
      </c>
      <c r="D129" s="30">
        <f>IF(117&gt;Inputs!$C$78,0,J128)</f>
        <v>9874315.4476764463</v>
      </c>
      <c r="E129" s="30">
        <f t="shared" si="15"/>
        <v>536541.90098659589</v>
      </c>
      <c r="F129" s="30">
        <f t="shared" si="16"/>
        <v>45257.279135183715</v>
      </c>
      <c r="G129" s="30">
        <f t="shared" si="17"/>
        <v>491284.62185141217</v>
      </c>
      <c r="H129" s="30">
        <f>IF(117=Inputs!$C$78,$C$6,0)</f>
        <v>0</v>
      </c>
      <c r="I129" s="30">
        <f t="shared" si="18"/>
        <v>536541.90098659589</v>
      </c>
      <c r="J129" s="30">
        <f t="shared" si="19"/>
        <v>9383030.8258250337</v>
      </c>
      <c r="K129" s="31">
        <f>IF(D129=0,0,I129/Inputs!$C$71*(1-Inputs!$C$80)^(117/12))</f>
        <v>5.2651706573462248E-3</v>
      </c>
    </row>
    <row r="130" spans="2:11" x14ac:dyDescent="0.3">
      <c r="B130" s="32">
        <v>118</v>
      </c>
      <c r="C130" s="33">
        <f>EDATE($C$12,118)</f>
        <v>48884</v>
      </c>
      <c r="D130" s="34">
        <f>IF(118&gt;Inputs!$C$78,0,J129)</f>
        <v>9383030.8258250337</v>
      </c>
      <c r="E130" s="34">
        <f t="shared" si="15"/>
        <v>536541.90098659589</v>
      </c>
      <c r="F130" s="34">
        <f t="shared" si="16"/>
        <v>43005.557951698072</v>
      </c>
      <c r="G130" s="34">
        <f t="shared" si="17"/>
        <v>493536.34303489781</v>
      </c>
      <c r="H130" s="34">
        <f>IF(118=Inputs!$C$78,$C$6,0)</f>
        <v>0</v>
      </c>
      <c r="I130" s="34">
        <f t="shared" si="18"/>
        <v>536541.90098659589</v>
      </c>
      <c r="J130" s="34">
        <f t="shared" si="19"/>
        <v>8889494.4827901367</v>
      </c>
      <c r="K130" s="35">
        <f>IF(D130=0,0,I130/Inputs!$C$71*(1-Inputs!$C$80)^(118/12))</f>
        <v>5.2495619086033486E-3</v>
      </c>
    </row>
    <row r="131" spans="2:11" x14ac:dyDescent="0.3">
      <c r="B131" s="28">
        <v>119</v>
      </c>
      <c r="C131" s="29">
        <f>EDATE($C$12,119)</f>
        <v>48914</v>
      </c>
      <c r="D131" s="30">
        <f>IF(119&gt;Inputs!$C$78,0,J130)</f>
        <v>8889494.4827901367</v>
      </c>
      <c r="E131" s="30">
        <f t="shared" si="15"/>
        <v>536541.90098659589</v>
      </c>
      <c r="F131" s="30">
        <f t="shared" si="16"/>
        <v>40743.516379454792</v>
      </c>
      <c r="G131" s="30">
        <f t="shared" si="17"/>
        <v>495798.38460714108</v>
      </c>
      <c r="H131" s="30">
        <f>IF(119=Inputs!$C$78,$C$6,0)</f>
        <v>0</v>
      </c>
      <c r="I131" s="30">
        <f t="shared" si="18"/>
        <v>536541.90098659589</v>
      </c>
      <c r="J131" s="30">
        <f t="shared" si="19"/>
        <v>8393696.0981829949</v>
      </c>
      <c r="K131" s="31">
        <f>IF(D131=0,0,I131/Inputs!$C$71*(1-Inputs!$C$80)^(119/12))</f>
        <v>5.2339994324417756E-3</v>
      </c>
    </row>
    <row r="132" spans="2:11" x14ac:dyDescent="0.3">
      <c r="B132" s="32">
        <v>120</v>
      </c>
      <c r="C132" s="33">
        <f>EDATE($C$12,120)</f>
        <v>48945</v>
      </c>
      <c r="D132" s="34">
        <f>IF(120&gt;Inputs!$C$78,0,J131)</f>
        <v>8393696.0981829949</v>
      </c>
      <c r="E132" s="34">
        <f t="shared" si="15"/>
        <v>536541.90098659589</v>
      </c>
      <c r="F132" s="34">
        <f t="shared" si="16"/>
        <v>38471.107116672058</v>
      </c>
      <c r="G132" s="34">
        <f t="shared" si="17"/>
        <v>498070.79386992386</v>
      </c>
      <c r="H132" s="34">
        <f>IF(120=Inputs!$C$78,$C$6,0)</f>
        <v>10800000</v>
      </c>
      <c r="I132" s="34">
        <f t="shared" si="18"/>
        <v>11336541.900986595</v>
      </c>
      <c r="J132" s="34">
        <f t="shared" si="19"/>
        <v>0</v>
      </c>
      <c r="K132" s="35">
        <f>IF(D132=0,0,I132/Inputs!$C$71*(1-Inputs!$C$80)^(120/12))</f>
        <v>0.11026082421465228</v>
      </c>
    </row>
    <row r="133" spans="2:11" x14ac:dyDescent="0.3">
      <c r="B133" s="28">
        <v>121</v>
      </c>
      <c r="C133" s="29">
        <f>EDATE($C$12,121)</f>
        <v>48976</v>
      </c>
      <c r="D133" s="30">
        <f>IF(121&gt;Inputs!$C$78,0,J132)</f>
        <v>0</v>
      </c>
      <c r="E133" s="30">
        <f t="shared" si="15"/>
        <v>0</v>
      </c>
      <c r="F133" s="30">
        <f t="shared" si="16"/>
        <v>0</v>
      </c>
      <c r="G133" s="30">
        <f t="shared" si="17"/>
        <v>0</v>
      </c>
      <c r="H133" s="30">
        <f>IF(121=Inputs!$C$78,$C$6,0)</f>
        <v>0</v>
      </c>
      <c r="I133" s="30">
        <f t="shared" si="18"/>
        <v>0</v>
      </c>
      <c r="J133" s="30">
        <f t="shared" si="19"/>
        <v>0</v>
      </c>
      <c r="K133" s="31">
        <f>IF(D133=0,0,I133/Inputs!$C$71*(1-Inputs!$C$80)^(121/12))</f>
        <v>0</v>
      </c>
    </row>
    <row r="134" spans="2:11" x14ac:dyDescent="0.3">
      <c r="B134" s="32">
        <v>122</v>
      </c>
      <c r="C134" s="33">
        <f>EDATE($C$12,122)</f>
        <v>49004</v>
      </c>
      <c r="D134" s="34">
        <f>IF(122&gt;Inputs!$C$78,0,J133)</f>
        <v>0</v>
      </c>
      <c r="E134" s="34">
        <f t="shared" si="15"/>
        <v>0</v>
      </c>
      <c r="F134" s="34">
        <f t="shared" si="16"/>
        <v>0</v>
      </c>
      <c r="G134" s="34">
        <f t="shared" si="17"/>
        <v>0</v>
      </c>
      <c r="H134" s="34">
        <f>IF(122=Inputs!$C$78,$C$6,0)</f>
        <v>0</v>
      </c>
      <c r="I134" s="34">
        <f t="shared" si="18"/>
        <v>0</v>
      </c>
      <c r="J134" s="34">
        <f t="shared" si="19"/>
        <v>0</v>
      </c>
      <c r="K134" s="35">
        <f>IF(D134=0,0,I134/Inputs!$C$71*(1-Inputs!$C$80)^(122/12))</f>
        <v>0</v>
      </c>
    </row>
    <row r="135" spans="2:11" x14ac:dyDescent="0.3">
      <c r="B135" s="28">
        <v>123</v>
      </c>
      <c r="C135" s="29">
        <f>EDATE($C$12,123)</f>
        <v>49035</v>
      </c>
      <c r="D135" s="30">
        <f>IF(123&gt;Inputs!$C$78,0,J134)</f>
        <v>0</v>
      </c>
      <c r="E135" s="30">
        <f t="shared" si="15"/>
        <v>0</v>
      </c>
      <c r="F135" s="30">
        <f t="shared" si="16"/>
        <v>0</v>
      </c>
      <c r="G135" s="30">
        <f t="shared" si="17"/>
        <v>0</v>
      </c>
      <c r="H135" s="30">
        <f>IF(123=Inputs!$C$78,$C$6,0)</f>
        <v>0</v>
      </c>
      <c r="I135" s="30">
        <f t="shared" si="18"/>
        <v>0</v>
      </c>
      <c r="J135" s="30">
        <f t="shared" si="19"/>
        <v>0</v>
      </c>
      <c r="K135" s="31">
        <f>IF(D135=0,0,I135/Inputs!$C$71*(1-Inputs!$C$80)^(123/12))</f>
        <v>0</v>
      </c>
    </row>
    <row r="136" spans="2:11" x14ac:dyDescent="0.3">
      <c r="B136" s="32">
        <v>124</v>
      </c>
      <c r="C136" s="33">
        <f>EDATE($C$12,124)</f>
        <v>49065</v>
      </c>
      <c r="D136" s="34">
        <f>IF(124&gt;Inputs!$C$78,0,J135)</f>
        <v>0</v>
      </c>
      <c r="E136" s="34">
        <f t="shared" si="15"/>
        <v>0</v>
      </c>
      <c r="F136" s="34">
        <f t="shared" si="16"/>
        <v>0</v>
      </c>
      <c r="G136" s="34">
        <f t="shared" si="17"/>
        <v>0</v>
      </c>
      <c r="H136" s="34">
        <f>IF(124=Inputs!$C$78,$C$6,0)</f>
        <v>0</v>
      </c>
      <c r="I136" s="34">
        <f t="shared" si="18"/>
        <v>0</v>
      </c>
      <c r="J136" s="34">
        <f t="shared" si="19"/>
        <v>0</v>
      </c>
      <c r="K136" s="35">
        <f>IF(D136=0,0,I136/Inputs!$C$71*(1-Inputs!$C$80)^(124/12))</f>
        <v>0</v>
      </c>
    </row>
    <row r="137" spans="2:11" x14ac:dyDescent="0.3">
      <c r="B137" s="28">
        <v>125</v>
      </c>
      <c r="C137" s="29">
        <f>EDATE($C$12,125)</f>
        <v>49096</v>
      </c>
      <c r="D137" s="30">
        <f>IF(125&gt;Inputs!$C$78,0,J136)</f>
        <v>0</v>
      </c>
      <c r="E137" s="30">
        <f t="shared" si="15"/>
        <v>0</v>
      </c>
      <c r="F137" s="30">
        <f t="shared" si="16"/>
        <v>0</v>
      </c>
      <c r="G137" s="30">
        <f t="shared" si="17"/>
        <v>0</v>
      </c>
      <c r="H137" s="30">
        <f>IF(125=Inputs!$C$78,$C$6,0)</f>
        <v>0</v>
      </c>
      <c r="I137" s="30">
        <f t="shared" si="18"/>
        <v>0</v>
      </c>
      <c r="J137" s="30">
        <f t="shared" si="19"/>
        <v>0</v>
      </c>
      <c r="K137" s="31">
        <f>IF(D137=0,0,I137/Inputs!$C$71*(1-Inputs!$C$80)^(125/12))</f>
        <v>0</v>
      </c>
    </row>
    <row r="138" spans="2:11" x14ac:dyDescent="0.3">
      <c r="B138" s="32">
        <v>126</v>
      </c>
      <c r="C138" s="33">
        <f>EDATE($C$12,126)</f>
        <v>49126</v>
      </c>
      <c r="D138" s="34">
        <f>IF(126&gt;Inputs!$C$78,0,J137)</f>
        <v>0</v>
      </c>
      <c r="E138" s="34">
        <f t="shared" si="15"/>
        <v>0</v>
      </c>
      <c r="F138" s="34">
        <f t="shared" si="16"/>
        <v>0</v>
      </c>
      <c r="G138" s="34">
        <f t="shared" si="17"/>
        <v>0</v>
      </c>
      <c r="H138" s="34">
        <f>IF(126=Inputs!$C$78,$C$6,0)</f>
        <v>0</v>
      </c>
      <c r="I138" s="34">
        <f t="shared" si="18"/>
        <v>0</v>
      </c>
      <c r="J138" s="34">
        <f t="shared" si="19"/>
        <v>0</v>
      </c>
      <c r="K138" s="35">
        <f>IF(D138=0,0,I138/Inputs!$C$71*(1-Inputs!$C$80)^(126/12))</f>
        <v>0</v>
      </c>
    </row>
    <row r="139" spans="2:11" x14ac:dyDescent="0.3">
      <c r="B139" s="28">
        <v>127</v>
      </c>
      <c r="C139" s="29">
        <f>EDATE($C$12,127)</f>
        <v>49157</v>
      </c>
      <c r="D139" s="30">
        <f>IF(127&gt;Inputs!$C$78,0,J138)</f>
        <v>0</v>
      </c>
      <c r="E139" s="30">
        <f t="shared" si="15"/>
        <v>0</v>
      </c>
      <c r="F139" s="30">
        <f t="shared" si="16"/>
        <v>0</v>
      </c>
      <c r="G139" s="30">
        <f t="shared" si="17"/>
        <v>0</v>
      </c>
      <c r="H139" s="30">
        <f>IF(127=Inputs!$C$78,$C$6,0)</f>
        <v>0</v>
      </c>
      <c r="I139" s="30">
        <f t="shared" si="18"/>
        <v>0</v>
      </c>
      <c r="J139" s="30">
        <f t="shared" si="19"/>
        <v>0</v>
      </c>
      <c r="K139" s="31">
        <f>IF(D139=0,0,I139/Inputs!$C$71*(1-Inputs!$C$80)^(127/12))</f>
        <v>0</v>
      </c>
    </row>
    <row r="140" spans="2:11" x14ac:dyDescent="0.3">
      <c r="B140" s="32">
        <v>128</v>
      </c>
      <c r="C140" s="33">
        <f>EDATE($C$12,128)</f>
        <v>49188</v>
      </c>
      <c r="D140" s="34">
        <f>IF(128&gt;Inputs!$C$78,0,J139)</f>
        <v>0</v>
      </c>
      <c r="E140" s="34">
        <f t="shared" si="15"/>
        <v>0</v>
      </c>
      <c r="F140" s="34">
        <f t="shared" si="16"/>
        <v>0</v>
      </c>
      <c r="G140" s="34">
        <f t="shared" si="17"/>
        <v>0</v>
      </c>
      <c r="H140" s="34">
        <f>IF(128=Inputs!$C$78,$C$6,0)</f>
        <v>0</v>
      </c>
      <c r="I140" s="34">
        <f t="shared" si="18"/>
        <v>0</v>
      </c>
      <c r="J140" s="34">
        <f t="shared" si="19"/>
        <v>0</v>
      </c>
      <c r="K140" s="35">
        <f>IF(D140=0,0,I140/Inputs!$C$71*(1-Inputs!$C$80)^(128/12))</f>
        <v>0</v>
      </c>
    </row>
    <row r="141" spans="2:11" x14ac:dyDescent="0.3">
      <c r="B141" s="28">
        <v>129</v>
      </c>
      <c r="C141" s="29">
        <f>EDATE($C$12,129)</f>
        <v>49218</v>
      </c>
      <c r="D141" s="30">
        <f>IF(129&gt;Inputs!$C$78,0,J140)</f>
        <v>0</v>
      </c>
      <c r="E141" s="30">
        <f t="shared" ref="E141:E156" si="20">IF(D141=0,0,MIN($C$8,D141+F141))</f>
        <v>0</v>
      </c>
      <c r="F141" s="30">
        <f t="shared" ref="F141:F156" si="21">IF(D141=0,0,D141*$C$7)</f>
        <v>0</v>
      </c>
      <c r="G141" s="30">
        <f t="shared" ref="G141:G156" si="22">IF(D141=0,0,E141-F141)</f>
        <v>0</v>
      </c>
      <c r="H141" s="30">
        <f>IF(129=Inputs!$C$78,$C$6,0)</f>
        <v>0</v>
      </c>
      <c r="I141" s="30">
        <f t="shared" ref="I141:I156" si="23">IF(D141=0,0,E141+H141)</f>
        <v>0</v>
      </c>
      <c r="J141" s="30">
        <f t="shared" ref="J141:J156" si="24">IF(D141=0,0,MAX(0,D141-G141-H141))</f>
        <v>0</v>
      </c>
      <c r="K141" s="31">
        <f>IF(D141=0,0,I141/Inputs!$C$71*(1-Inputs!$C$80)^(129/12))</f>
        <v>0</v>
      </c>
    </row>
    <row r="142" spans="2:11" x14ac:dyDescent="0.3">
      <c r="B142" s="32">
        <v>130</v>
      </c>
      <c r="C142" s="33">
        <f>EDATE($C$12,130)</f>
        <v>49249</v>
      </c>
      <c r="D142" s="34">
        <f>IF(130&gt;Inputs!$C$78,0,J141)</f>
        <v>0</v>
      </c>
      <c r="E142" s="34">
        <f t="shared" si="20"/>
        <v>0</v>
      </c>
      <c r="F142" s="34">
        <f t="shared" si="21"/>
        <v>0</v>
      </c>
      <c r="G142" s="34">
        <f t="shared" si="22"/>
        <v>0</v>
      </c>
      <c r="H142" s="34">
        <f>IF(130=Inputs!$C$78,$C$6,0)</f>
        <v>0</v>
      </c>
      <c r="I142" s="34">
        <f t="shared" si="23"/>
        <v>0</v>
      </c>
      <c r="J142" s="34">
        <f t="shared" si="24"/>
        <v>0</v>
      </c>
      <c r="K142" s="35">
        <f>IF(D142=0,0,I142/Inputs!$C$71*(1-Inputs!$C$80)^(130/12))</f>
        <v>0</v>
      </c>
    </row>
    <row r="143" spans="2:11" x14ac:dyDescent="0.3">
      <c r="B143" s="28">
        <v>131</v>
      </c>
      <c r="C143" s="29">
        <f>EDATE($C$12,131)</f>
        <v>49279</v>
      </c>
      <c r="D143" s="30">
        <f>IF(131&gt;Inputs!$C$78,0,J142)</f>
        <v>0</v>
      </c>
      <c r="E143" s="30">
        <f t="shared" si="20"/>
        <v>0</v>
      </c>
      <c r="F143" s="30">
        <f t="shared" si="21"/>
        <v>0</v>
      </c>
      <c r="G143" s="30">
        <f t="shared" si="22"/>
        <v>0</v>
      </c>
      <c r="H143" s="30">
        <f>IF(131=Inputs!$C$78,$C$6,0)</f>
        <v>0</v>
      </c>
      <c r="I143" s="30">
        <f t="shared" si="23"/>
        <v>0</v>
      </c>
      <c r="J143" s="30">
        <f t="shared" si="24"/>
        <v>0</v>
      </c>
      <c r="K143" s="31">
        <f>IF(D143=0,0,I143/Inputs!$C$71*(1-Inputs!$C$80)^(131/12))</f>
        <v>0</v>
      </c>
    </row>
    <row r="144" spans="2:11" x14ac:dyDescent="0.3">
      <c r="B144" s="32">
        <v>132</v>
      </c>
      <c r="C144" s="33">
        <f>EDATE($C$12,132)</f>
        <v>49310</v>
      </c>
      <c r="D144" s="34">
        <f>IF(132&gt;Inputs!$C$78,0,J143)</f>
        <v>0</v>
      </c>
      <c r="E144" s="34">
        <f t="shared" si="20"/>
        <v>0</v>
      </c>
      <c r="F144" s="34">
        <f t="shared" si="21"/>
        <v>0</v>
      </c>
      <c r="G144" s="34">
        <f t="shared" si="22"/>
        <v>0</v>
      </c>
      <c r="H144" s="34">
        <f>IF(132=Inputs!$C$78,$C$6,0)</f>
        <v>0</v>
      </c>
      <c r="I144" s="34">
        <f t="shared" si="23"/>
        <v>0</v>
      </c>
      <c r="J144" s="34">
        <f t="shared" si="24"/>
        <v>0</v>
      </c>
      <c r="K144" s="35">
        <f>IF(D144=0,0,I144/Inputs!$C$71*(1-Inputs!$C$80)^(132/12))</f>
        <v>0</v>
      </c>
    </row>
    <row r="145" spans="2:11" x14ac:dyDescent="0.3">
      <c r="B145" s="28">
        <v>133</v>
      </c>
      <c r="C145" s="29">
        <f>EDATE($C$12,133)</f>
        <v>49341</v>
      </c>
      <c r="D145" s="30">
        <f>IF(133&gt;Inputs!$C$78,0,J144)</f>
        <v>0</v>
      </c>
      <c r="E145" s="30">
        <f t="shared" si="20"/>
        <v>0</v>
      </c>
      <c r="F145" s="30">
        <f t="shared" si="21"/>
        <v>0</v>
      </c>
      <c r="G145" s="30">
        <f t="shared" si="22"/>
        <v>0</v>
      </c>
      <c r="H145" s="30">
        <f>IF(133=Inputs!$C$78,$C$6,0)</f>
        <v>0</v>
      </c>
      <c r="I145" s="30">
        <f t="shared" si="23"/>
        <v>0</v>
      </c>
      <c r="J145" s="30">
        <f t="shared" si="24"/>
        <v>0</v>
      </c>
      <c r="K145" s="31">
        <f>IF(D145=0,0,I145/Inputs!$C$71*(1-Inputs!$C$80)^(133/12))</f>
        <v>0</v>
      </c>
    </row>
    <row r="146" spans="2:11" x14ac:dyDescent="0.3">
      <c r="B146" s="32">
        <v>134</v>
      </c>
      <c r="C146" s="33">
        <f>EDATE($C$12,134)</f>
        <v>49369</v>
      </c>
      <c r="D146" s="34">
        <f>IF(134&gt;Inputs!$C$78,0,J145)</f>
        <v>0</v>
      </c>
      <c r="E146" s="34">
        <f t="shared" si="20"/>
        <v>0</v>
      </c>
      <c r="F146" s="34">
        <f t="shared" si="21"/>
        <v>0</v>
      </c>
      <c r="G146" s="34">
        <f t="shared" si="22"/>
        <v>0</v>
      </c>
      <c r="H146" s="34">
        <f>IF(134=Inputs!$C$78,$C$6,0)</f>
        <v>0</v>
      </c>
      <c r="I146" s="34">
        <f t="shared" si="23"/>
        <v>0</v>
      </c>
      <c r="J146" s="34">
        <f t="shared" si="24"/>
        <v>0</v>
      </c>
      <c r="K146" s="35">
        <f>IF(D146=0,0,I146/Inputs!$C$71*(1-Inputs!$C$80)^(134/12))</f>
        <v>0</v>
      </c>
    </row>
    <row r="147" spans="2:11" x14ac:dyDescent="0.3">
      <c r="B147" s="28">
        <v>135</v>
      </c>
      <c r="C147" s="29">
        <f>EDATE($C$12,135)</f>
        <v>49400</v>
      </c>
      <c r="D147" s="30">
        <f>IF(135&gt;Inputs!$C$78,0,J146)</f>
        <v>0</v>
      </c>
      <c r="E147" s="30">
        <f t="shared" si="20"/>
        <v>0</v>
      </c>
      <c r="F147" s="30">
        <f t="shared" si="21"/>
        <v>0</v>
      </c>
      <c r="G147" s="30">
        <f t="shared" si="22"/>
        <v>0</v>
      </c>
      <c r="H147" s="30">
        <f>IF(135=Inputs!$C$78,$C$6,0)</f>
        <v>0</v>
      </c>
      <c r="I147" s="30">
        <f t="shared" si="23"/>
        <v>0</v>
      </c>
      <c r="J147" s="30">
        <f t="shared" si="24"/>
        <v>0</v>
      </c>
      <c r="K147" s="31">
        <f>IF(D147=0,0,I147/Inputs!$C$71*(1-Inputs!$C$80)^(135/12))</f>
        <v>0</v>
      </c>
    </row>
    <row r="148" spans="2:11" x14ac:dyDescent="0.3">
      <c r="B148" s="32">
        <v>136</v>
      </c>
      <c r="C148" s="33">
        <f>EDATE($C$12,136)</f>
        <v>49430</v>
      </c>
      <c r="D148" s="34">
        <f>IF(136&gt;Inputs!$C$78,0,J147)</f>
        <v>0</v>
      </c>
      <c r="E148" s="34">
        <f t="shared" si="20"/>
        <v>0</v>
      </c>
      <c r="F148" s="34">
        <f t="shared" si="21"/>
        <v>0</v>
      </c>
      <c r="G148" s="34">
        <f t="shared" si="22"/>
        <v>0</v>
      </c>
      <c r="H148" s="34">
        <f>IF(136=Inputs!$C$78,$C$6,0)</f>
        <v>0</v>
      </c>
      <c r="I148" s="34">
        <f t="shared" si="23"/>
        <v>0</v>
      </c>
      <c r="J148" s="34">
        <f t="shared" si="24"/>
        <v>0</v>
      </c>
      <c r="K148" s="35">
        <f>IF(D148=0,0,I148/Inputs!$C$71*(1-Inputs!$C$80)^(136/12))</f>
        <v>0</v>
      </c>
    </row>
    <row r="149" spans="2:11" x14ac:dyDescent="0.3">
      <c r="B149" s="28">
        <v>137</v>
      </c>
      <c r="C149" s="29">
        <f>EDATE($C$12,137)</f>
        <v>49461</v>
      </c>
      <c r="D149" s="30">
        <f>IF(137&gt;Inputs!$C$78,0,J148)</f>
        <v>0</v>
      </c>
      <c r="E149" s="30">
        <f t="shared" si="20"/>
        <v>0</v>
      </c>
      <c r="F149" s="30">
        <f t="shared" si="21"/>
        <v>0</v>
      </c>
      <c r="G149" s="30">
        <f t="shared" si="22"/>
        <v>0</v>
      </c>
      <c r="H149" s="30">
        <f>IF(137=Inputs!$C$78,$C$6,0)</f>
        <v>0</v>
      </c>
      <c r="I149" s="30">
        <f t="shared" si="23"/>
        <v>0</v>
      </c>
      <c r="J149" s="30">
        <f t="shared" si="24"/>
        <v>0</v>
      </c>
      <c r="K149" s="31">
        <f>IF(D149=0,0,I149/Inputs!$C$71*(1-Inputs!$C$80)^(137/12))</f>
        <v>0</v>
      </c>
    </row>
    <row r="150" spans="2:11" x14ac:dyDescent="0.3">
      <c r="B150" s="32">
        <v>138</v>
      </c>
      <c r="C150" s="33">
        <f>EDATE($C$12,138)</f>
        <v>49491</v>
      </c>
      <c r="D150" s="34">
        <f>IF(138&gt;Inputs!$C$78,0,J149)</f>
        <v>0</v>
      </c>
      <c r="E150" s="34">
        <f t="shared" si="20"/>
        <v>0</v>
      </c>
      <c r="F150" s="34">
        <f t="shared" si="21"/>
        <v>0</v>
      </c>
      <c r="G150" s="34">
        <f t="shared" si="22"/>
        <v>0</v>
      </c>
      <c r="H150" s="34">
        <f>IF(138=Inputs!$C$78,$C$6,0)</f>
        <v>0</v>
      </c>
      <c r="I150" s="34">
        <f t="shared" si="23"/>
        <v>0</v>
      </c>
      <c r="J150" s="34">
        <f t="shared" si="24"/>
        <v>0</v>
      </c>
      <c r="K150" s="35">
        <f>IF(D150=0,0,I150/Inputs!$C$71*(1-Inputs!$C$80)^(138/12))</f>
        <v>0</v>
      </c>
    </row>
    <row r="151" spans="2:11" x14ac:dyDescent="0.3">
      <c r="B151" s="28">
        <v>139</v>
      </c>
      <c r="C151" s="29">
        <f>EDATE($C$12,139)</f>
        <v>49522</v>
      </c>
      <c r="D151" s="30">
        <f>IF(139&gt;Inputs!$C$78,0,J150)</f>
        <v>0</v>
      </c>
      <c r="E151" s="30">
        <f t="shared" si="20"/>
        <v>0</v>
      </c>
      <c r="F151" s="30">
        <f t="shared" si="21"/>
        <v>0</v>
      </c>
      <c r="G151" s="30">
        <f t="shared" si="22"/>
        <v>0</v>
      </c>
      <c r="H151" s="30">
        <f>IF(139=Inputs!$C$78,$C$6,0)</f>
        <v>0</v>
      </c>
      <c r="I151" s="30">
        <f t="shared" si="23"/>
        <v>0</v>
      </c>
      <c r="J151" s="30">
        <f t="shared" si="24"/>
        <v>0</v>
      </c>
      <c r="K151" s="31">
        <f>IF(D151=0,0,I151/Inputs!$C$71*(1-Inputs!$C$80)^(139/12))</f>
        <v>0</v>
      </c>
    </row>
    <row r="152" spans="2:11" x14ac:dyDescent="0.3">
      <c r="B152" s="32">
        <v>140</v>
      </c>
      <c r="C152" s="33">
        <f>EDATE($C$12,140)</f>
        <v>49553</v>
      </c>
      <c r="D152" s="34">
        <f>IF(140&gt;Inputs!$C$78,0,J151)</f>
        <v>0</v>
      </c>
      <c r="E152" s="34">
        <f t="shared" si="20"/>
        <v>0</v>
      </c>
      <c r="F152" s="34">
        <f t="shared" si="21"/>
        <v>0</v>
      </c>
      <c r="G152" s="34">
        <f t="shared" si="22"/>
        <v>0</v>
      </c>
      <c r="H152" s="34">
        <f>IF(140=Inputs!$C$78,$C$6,0)</f>
        <v>0</v>
      </c>
      <c r="I152" s="34">
        <f t="shared" si="23"/>
        <v>0</v>
      </c>
      <c r="J152" s="34">
        <f t="shared" si="24"/>
        <v>0</v>
      </c>
      <c r="K152" s="35">
        <f>IF(D152=0,0,I152/Inputs!$C$71*(1-Inputs!$C$80)^(140/12))</f>
        <v>0</v>
      </c>
    </row>
    <row r="153" spans="2:11" x14ac:dyDescent="0.3">
      <c r="B153" s="28">
        <v>141</v>
      </c>
      <c r="C153" s="29">
        <f>EDATE($C$12,141)</f>
        <v>49583</v>
      </c>
      <c r="D153" s="30">
        <f>IF(141&gt;Inputs!$C$78,0,J152)</f>
        <v>0</v>
      </c>
      <c r="E153" s="30">
        <f t="shared" si="20"/>
        <v>0</v>
      </c>
      <c r="F153" s="30">
        <f t="shared" si="21"/>
        <v>0</v>
      </c>
      <c r="G153" s="30">
        <f t="shared" si="22"/>
        <v>0</v>
      </c>
      <c r="H153" s="30">
        <f>IF(141=Inputs!$C$78,$C$6,0)</f>
        <v>0</v>
      </c>
      <c r="I153" s="30">
        <f t="shared" si="23"/>
        <v>0</v>
      </c>
      <c r="J153" s="30">
        <f t="shared" si="24"/>
        <v>0</v>
      </c>
      <c r="K153" s="31">
        <f>IF(D153=0,0,I153/Inputs!$C$71*(1-Inputs!$C$80)^(141/12))</f>
        <v>0</v>
      </c>
    </row>
    <row r="154" spans="2:11" x14ac:dyDescent="0.3">
      <c r="B154" s="32">
        <v>142</v>
      </c>
      <c r="C154" s="33">
        <f>EDATE($C$12,142)</f>
        <v>49614</v>
      </c>
      <c r="D154" s="34">
        <f>IF(142&gt;Inputs!$C$78,0,J153)</f>
        <v>0</v>
      </c>
      <c r="E154" s="34">
        <f t="shared" si="20"/>
        <v>0</v>
      </c>
      <c r="F154" s="34">
        <f t="shared" si="21"/>
        <v>0</v>
      </c>
      <c r="G154" s="34">
        <f t="shared" si="22"/>
        <v>0</v>
      </c>
      <c r="H154" s="34">
        <f>IF(142=Inputs!$C$78,$C$6,0)</f>
        <v>0</v>
      </c>
      <c r="I154" s="34">
        <f t="shared" si="23"/>
        <v>0</v>
      </c>
      <c r="J154" s="34">
        <f t="shared" si="24"/>
        <v>0</v>
      </c>
      <c r="K154" s="35">
        <f>IF(D154=0,0,I154/Inputs!$C$71*(1-Inputs!$C$80)^(142/12))</f>
        <v>0</v>
      </c>
    </row>
    <row r="155" spans="2:11" x14ac:dyDescent="0.3">
      <c r="B155" s="28">
        <v>143</v>
      </c>
      <c r="C155" s="29">
        <f>EDATE($C$12,143)</f>
        <v>49644</v>
      </c>
      <c r="D155" s="30">
        <f>IF(143&gt;Inputs!$C$78,0,J154)</f>
        <v>0</v>
      </c>
      <c r="E155" s="30">
        <f t="shared" si="20"/>
        <v>0</v>
      </c>
      <c r="F155" s="30">
        <f t="shared" si="21"/>
        <v>0</v>
      </c>
      <c r="G155" s="30">
        <f t="shared" si="22"/>
        <v>0</v>
      </c>
      <c r="H155" s="30">
        <f>IF(143=Inputs!$C$78,$C$6,0)</f>
        <v>0</v>
      </c>
      <c r="I155" s="30">
        <f t="shared" si="23"/>
        <v>0</v>
      </c>
      <c r="J155" s="30">
        <f t="shared" si="24"/>
        <v>0</v>
      </c>
      <c r="K155" s="31">
        <f>IF(D155=0,0,I155/Inputs!$C$71*(1-Inputs!$C$80)^(143/12))</f>
        <v>0</v>
      </c>
    </row>
    <row r="156" spans="2:11" x14ac:dyDescent="0.3">
      <c r="B156" s="32">
        <v>144</v>
      </c>
      <c r="C156" s="33">
        <f>EDATE($C$12,144)</f>
        <v>49675</v>
      </c>
      <c r="D156" s="34">
        <f>IF(144&gt;Inputs!$C$78,0,J155)</f>
        <v>0</v>
      </c>
      <c r="E156" s="34">
        <f t="shared" si="20"/>
        <v>0</v>
      </c>
      <c r="F156" s="34">
        <f t="shared" si="21"/>
        <v>0</v>
      </c>
      <c r="G156" s="34">
        <f t="shared" si="22"/>
        <v>0</v>
      </c>
      <c r="H156" s="34">
        <f>IF(144=Inputs!$C$78,$C$6,0)</f>
        <v>0</v>
      </c>
      <c r="I156" s="34">
        <f t="shared" si="23"/>
        <v>0</v>
      </c>
      <c r="J156" s="34">
        <f t="shared" si="24"/>
        <v>0</v>
      </c>
      <c r="K156" s="35">
        <f>IF(D156=0,0,I156/Inputs!$C$71*(1-Inputs!$C$80)^(144/12))</f>
        <v>0</v>
      </c>
    </row>
    <row r="157" spans="2:11" x14ac:dyDescent="0.3">
      <c r="B157" s="67" t="s">
        <v>108</v>
      </c>
      <c r="C157" s="67"/>
      <c r="D157" s="67"/>
      <c r="E157" s="36">
        <f>SUM(E13:E156)</f>
        <v>64385028.118391588</v>
      </c>
      <c r="F157" s="36">
        <f>SUM(F13:F156)</f>
        <v>18280653.422704555</v>
      </c>
      <c r="G157" s="36">
        <f>SUM(G13:G156)</f>
        <v>46104374.695686936</v>
      </c>
      <c r="H157" s="36">
        <f>SUM(H13:H156)</f>
        <v>10800000</v>
      </c>
      <c r="I157" s="36">
        <f>SUM(I13:I156)</f>
        <v>75185028.118391588</v>
      </c>
    </row>
  </sheetData>
  <mergeCells count="6">
    <mergeCell ref="B157:D157"/>
    <mergeCell ref="A1:J1"/>
    <mergeCell ref="B3:C3"/>
    <mergeCell ref="D3:E3"/>
    <mergeCell ref="B4:C4"/>
    <mergeCell ref="D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148"/>
  <sheetViews>
    <sheetView showGridLines="0" zoomScaleNormal="100" workbookViewId="0">
      <selection activeCell="L1" sqref="L1:L1048576"/>
    </sheetView>
  </sheetViews>
  <sheetFormatPr defaultColWidth="8.6640625" defaultRowHeight="14.4" x14ac:dyDescent="0.3"/>
  <cols>
    <col min="1" max="1" width="3" customWidth="1"/>
    <col min="2" max="2" width="8" customWidth="1"/>
    <col min="3" max="3" width="14" customWidth="1"/>
    <col min="4" max="8" width="18" customWidth="1"/>
    <col min="9" max="11" width="16" customWidth="1"/>
    <col min="12" max="12" width="13.109375" bestFit="1" customWidth="1"/>
  </cols>
  <sheetData>
    <row r="1" spans="1:12" ht="30" customHeight="1" x14ac:dyDescent="0.3">
      <c r="A1" s="68" t="s">
        <v>109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3" spans="1:12" ht="31.5" customHeight="1" x14ac:dyDescent="0.3">
      <c r="B3" s="23" t="s">
        <v>98</v>
      </c>
      <c r="C3" s="23" t="s">
        <v>99</v>
      </c>
      <c r="D3" s="23" t="s">
        <v>110</v>
      </c>
      <c r="E3" s="23" t="s">
        <v>111</v>
      </c>
      <c r="F3" s="23" t="s">
        <v>112</v>
      </c>
      <c r="G3" s="23" t="s">
        <v>113</v>
      </c>
      <c r="H3" s="23" t="s">
        <v>114</v>
      </c>
      <c r="I3" s="23" t="s">
        <v>115</v>
      </c>
      <c r="J3" s="23" t="s">
        <v>116</v>
      </c>
      <c r="K3" s="23" t="s">
        <v>117</v>
      </c>
      <c r="L3" s="23" t="s">
        <v>118</v>
      </c>
    </row>
    <row r="4" spans="1:12" x14ac:dyDescent="0.3">
      <c r="B4" s="28">
        <v>1</v>
      </c>
      <c r="C4" s="29">
        <f>EDATE(DATE(2024,1,1),0)</f>
        <v>45292</v>
      </c>
      <c r="D4" s="37" t="str">
        <f>IF(1&gt;Inputs!$C$74,"Expired",IF(Inputs!$C$68&gt;0,IF(1&lt;Inputs!$C$68,"Paying",IF(1&lt;Inputs!$C$68+Inputs!$C$85,"Default","Re-Lease")),"Paying"))</f>
        <v>Paying</v>
      </c>
      <c r="E4" s="30">
        <f>IF(D4="Expired",0,IF(D4="Default",0,IF(D4="Re-Lease",Inputs!$C$71*Inputs!$C$86,Inputs!$C$73)))</f>
        <v>561600</v>
      </c>
      <c r="F4" s="30">
        <f>(Inputs!$C$82*(1+Inputs!$C$83)^0)/12+IF(1=Inputs!$C$68,Inputs!$C$69/12,0)</f>
        <v>85833.333333333328</v>
      </c>
      <c r="G4" s="30">
        <f>IF(D4="Expired",0,(IF(Inputs!$C$5=1,(Inputs!C38+Inputs!C39)/12,(Inputs!F38+Inputs!F39)/12)*(1+Inputs!$C$83)^0))</f>
        <v>52500</v>
      </c>
      <c r="H4" s="30">
        <f t="shared" ref="H4:H35" si="0">E4-F4-G4</f>
        <v>423266.66666666669</v>
      </c>
      <c r="I4" s="38">
        <f>'Debt Schedule'!I13</f>
        <v>536541.90098659589</v>
      </c>
      <c r="J4" s="30">
        <f t="shared" ref="J4:J35" si="1">H4-I4</f>
        <v>-113275.23431992921</v>
      </c>
      <c r="K4" s="39">
        <f t="shared" ref="K4:K35" si="2">IFERROR(H4/I4,"-")</f>
        <v>0.78887905285376936</v>
      </c>
      <c r="L4" s="30">
        <f>SUM($J$4:J4)</f>
        <v>-113275.23431992921</v>
      </c>
    </row>
    <row r="5" spans="1:12" x14ac:dyDescent="0.3">
      <c r="B5" s="32">
        <v>2</v>
      </c>
      <c r="C5" s="33">
        <f>EDATE(DATE(2024,1,1),1)</f>
        <v>45323</v>
      </c>
      <c r="D5" s="40" t="str">
        <f>IF(2&gt;Inputs!$C$74,"Expired",IF(Inputs!$C$68&gt;0,IF(2&lt;Inputs!$C$68,"Paying",IF(2&lt;Inputs!$C$68+Inputs!$C$85,"Default","Re-Lease")),"Paying"))</f>
        <v>Paying</v>
      </c>
      <c r="E5" s="34">
        <f>IF(D5="Expired",0,IF(D5="Default",0,IF(D5="Re-Lease",Inputs!$C$71*Inputs!$C$86,Inputs!$C$73)))</f>
        <v>561600</v>
      </c>
      <c r="F5" s="34">
        <f>(Inputs!$C$82*(1+Inputs!$C$83)^0)/12+IF(2=Inputs!$C$68,Inputs!$C$69/12,0)</f>
        <v>85833.333333333328</v>
      </c>
      <c r="G5" s="34">
        <f>IF(D5="Expired",0,(IF(Inputs!$C$5=1,(Inputs!C38+Inputs!C39)/12,(Inputs!F38+Inputs!F39)/12)*(1+Inputs!$C$83)^0))</f>
        <v>52500</v>
      </c>
      <c r="H5" s="34">
        <f t="shared" si="0"/>
        <v>423266.66666666669</v>
      </c>
      <c r="I5" s="41">
        <f>'Debt Schedule'!I14</f>
        <v>536541.90098659589</v>
      </c>
      <c r="J5" s="34">
        <f t="shared" si="1"/>
        <v>-113275.23431992921</v>
      </c>
      <c r="K5" s="42">
        <f t="shared" si="2"/>
        <v>0.78887905285376936</v>
      </c>
      <c r="L5" s="34">
        <f>SUM($J$4:J5)</f>
        <v>-226550.46863985842</v>
      </c>
    </row>
    <row r="6" spans="1:12" x14ac:dyDescent="0.3">
      <c r="B6" s="28">
        <v>3</v>
      </c>
      <c r="C6" s="29">
        <f>EDATE(DATE(2024,1,1),2)</f>
        <v>45352</v>
      </c>
      <c r="D6" s="37" t="str">
        <f>IF(3&gt;Inputs!$C$74,"Expired",IF(Inputs!$C$68&gt;0,IF(3&lt;Inputs!$C$68,"Paying",IF(3&lt;Inputs!$C$68+Inputs!$C$85,"Default","Re-Lease")),"Paying"))</f>
        <v>Paying</v>
      </c>
      <c r="E6" s="30">
        <f>IF(D6="Expired",0,IF(D6="Default",0,IF(D6="Re-Lease",Inputs!$C$71*Inputs!$C$86,Inputs!$C$73)))</f>
        <v>561600</v>
      </c>
      <c r="F6" s="30">
        <f>(Inputs!$C$82*(1+Inputs!$C$83)^0)/12+IF(3=Inputs!$C$68,Inputs!$C$69/12,0)</f>
        <v>85833.333333333328</v>
      </c>
      <c r="G6" s="30">
        <f>IF(D6="Expired",0,(IF(Inputs!$C$5=1,(Inputs!C38+Inputs!C39)/12,(Inputs!F38+Inputs!F39)/12)*(1+Inputs!$C$83)^0))</f>
        <v>52500</v>
      </c>
      <c r="H6" s="30">
        <f t="shared" si="0"/>
        <v>423266.66666666669</v>
      </c>
      <c r="I6" s="38">
        <f>'Debt Schedule'!I15</f>
        <v>536541.90098659589</v>
      </c>
      <c r="J6" s="30">
        <f t="shared" si="1"/>
        <v>-113275.23431992921</v>
      </c>
      <c r="K6" s="39">
        <f t="shared" si="2"/>
        <v>0.78887905285376936</v>
      </c>
      <c r="L6" s="30">
        <f>SUM($J$4:J6)</f>
        <v>-339825.70295978762</v>
      </c>
    </row>
    <row r="7" spans="1:12" x14ac:dyDescent="0.3">
      <c r="B7" s="32">
        <v>4</v>
      </c>
      <c r="C7" s="33">
        <f>EDATE(DATE(2024,1,1),3)</f>
        <v>45383</v>
      </c>
      <c r="D7" s="40" t="str">
        <f>IF(4&gt;Inputs!$C$74,"Expired",IF(Inputs!$C$68&gt;0,IF(4&lt;Inputs!$C$68,"Paying",IF(4&lt;Inputs!$C$68+Inputs!$C$85,"Default","Re-Lease")),"Paying"))</f>
        <v>Paying</v>
      </c>
      <c r="E7" s="34">
        <f>IF(D7="Expired",0,IF(D7="Default",0,IF(D7="Re-Lease",Inputs!$C$71*Inputs!$C$86,Inputs!$C$73)))</f>
        <v>561600</v>
      </c>
      <c r="F7" s="34">
        <f>(Inputs!$C$82*(1+Inputs!$C$83)^0)/12+IF(4=Inputs!$C$68,Inputs!$C$69/12,0)</f>
        <v>85833.333333333328</v>
      </c>
      <c r="G7" s="34">
        <f>IF(D7="Expired",0,(IF(Inputs!$C$5=1,(Inputs!C38+Inputs!C39)/12,(Inputs!F38+Inputs!F39)/12)*(1+Inputs!$C$83)^0))</f>
        <v>52500</v>
      </c>
      <c r="H7" s="34">
        <f t="shared" si="0"/>
        <v>423266.66666666669</v>
      </c>
      <c r="I7" s="41">
        <f>'Debt Schedule'!I16</f>
        <v>536541.90098659589</v>
      </c>
      <c r="J7" s="34">
        <f t="shared" si="1"/>
        <v>-113275.23431992921</v>
      </c>
      <c r="K7" s="42">
        <f t="shared" si="2"/>
        <v>0.78887905285376936</v>
      </c>
      <c r="L7" s="34">
        <f>SUM($J$4:J7)</f>
        <v>-453100.93727971683</v>
      </c>
    </row>
    <row r="8" spans="1:12" x14ac:dyDescent="0.3">
      <c r="B8" s="28">
        <v>5</v>
      </c>
      <c r="C8" s="29">
        <f>EDATE(DATE(2024,1,1),4)</f>
        <v>45413</v>
      </c>
      <c r="D8" s="37" t="str">
        <f>IF(5&gt;Inputs!$C$74,"Expired",IF(Inputs!$C$68&gt;0,IF(5&lt;Inputs!$C$68,"Paying",IF(5&lt;Inputs!$C$68+Inputs!$C$85,"Default","Re-Lease")),"Paying"))</f>
        <v>Paying</v>
      </c>
      <c r="E8" s="30">
        <f>IF(D8="Expired",0,IF(D8="Default",0,IF(D8="Re-Lease",Inputs!$C$71*Inputs!$C$86,Inputs!$C$73)))</f>
        <v>561600</v>
      </c>
      <c r="F8" s="30">
        <f>(Inputs!$C$82*(1+Inputs!$C$83)^0)/12+IF(5=Inputs!$C$68,Inputs!$C$69/12,0)</f>
        <v>85833.333333333328</v>
      </c>
      <c r="G8" s="30">
        <f>IF(D8="Expired",0,(IF(Inputs!$C$5=1,(Inputs!C38+Inputs!C39)/12,(Inputs!F38+Inputs!F39)/12)*(1+Inputs!$C$83)^0))</f>
        <v>52500</v>
      </c>
      <c r="H8" s="30">
        <f t="shared" si="0"/>
        <v>423266.66666666669</v>
      </c>
      <c r="I8" s="38">
        <f>'Debt Schedule'!I17</f>
        <v>536541.90098659589</v>
      </c>
      <c r="J8" s="30">
        <f t="shared" si="1"/>
        <v>-113275.23431992921</v>
      </c>
      <c r="K8" s="39">
        <f t="shared" si="2"/>
        <v>0.78887905285376936</v>
      </c>
      <c r="L8" s="30">
        <f>SUM($J$4:J8)</f>
        <v>-566376.1715996461</v>
      </c>
    </row>
    <row r="9" spans="1:12" x14ac:dyDescent="0.3">
      <c r="B9" s="32">
        <v>6</v>
      </c>
      <c r="C9" s="33">
        <f>EDATE(DATE(2024,1,1),5)</f>
        <v>45444</v>
      </c>
      <c r="D9" s="40" t="str">
        <f>IF(6&gt;Inputs!$C$74,"Expired",IF(Inputs!$C$68&gt;0,IF(6&lt;Inputs!$C$68,"Paying",IF(6&lt;Inputs!$C$68+Inputs!$C$85,"Default","Re-Lease")),"Paying"))</f>
        <v>Paying</v>
      </c>
      <c r="E9" s="34">
        <f>IF(D9="Expired",0,IF(D9="Default",0,IF(D9="Re-Lease",Inputs!$C$71*Inputs!$C$86,Inputs!$C$73)))</f>
        <v>561600</v>
      </c>
      <c r="F9" s="34">
        <f>(Inputs!$C$82*(1+Inputs!$C$83)^0)/12+IF(6=Inputs!$C$68,Inputs!$C$69/12,0)</f>
        <v>85833.333333333328</v>
      </c>
      <c r="G9" s="34">
        <f>IF(D9="Expired",0,(IF(Inputs!$C$5=1,(Inputs!C38+Inputs!C39)/12,(Inputs!F38+Inputs!F39)/12)*(1+Inputs!$C$83)^0))</f>
        <v>52500</v>
      </c>
      <c r="H9" s="34">
        <f t="shared" si="0"/>
        <v>423266.66666666669</v>
      </c>
      <c r="I9" s="41">
        <f>'Debt Schedule'!I18</f>
        <v>536541.90098659589</v>
      </c>
      <c r="J9" s="34">
        <f t="shared" si="1"/>
        <v>-113275.23431992921</v>
      </c>
      <c r="K9" s="42">
        <f t="shared" si="2"/>
        <v>0.78887905285376936</v>
      </c>
      <c r="L9" s="34">
        <f>SUM($J$4:J9)</f>
        <v>-679651.40591957537</v>
      </c>
    </row>
    <row r="10" spans="1:12" x14ac:dyDescent="0.3">
      <c r="B10" s="28">
        <v>7</v>
      </c>
      <c r="C10" s="29">
        <f>EDATE(DATE(2024,1,1),6)</f>
        <v>45474</v>
      </c>
      <c r="D10" s="37" t="str">
        <f>IF(7&gt;Inputs!$C$74,"Expired",IF(Inputs!$C$68&gt;0,IF(7&lt;Inputs!$C$68,"Paying",IF(7&lt;Inputs!$C$68+Inputs!$C$85,"Default","Re-Lease")),"Paying"))</f>
        <v>Paying</v>
      </c>
      <c r="E10" s="30">
        <f>IF(D10="Expired",0,IF(D10="Default",0,IF(D10="Re-Lease",Inputs!$C$71*Inputs!$C$86,Inputs!$C$73)))</f>
        <v>561600</v>
      </c>
      <c r="F10" s="30">
        <f>(Inputs!$C$82*(1+Inputs!$C$83)^0)/12+IF(7=Inputs!$C$68,Inputs!$C$69/12,0)</f>
        <v>85833.333333333328</v>
      </c>
      <c r="G10" s="30">
        <f>IF(D10="Expired",0,(IF(Inputs!$C$5=1,(Inputs!C38+Inputs!C39)/12,(Inputs!F38+Inputs!F39)/12)*(1+Inputs!$C$83)^0))</f>
        <v>52500</v>
      </c>
      <c r="H10" s="30">
        <f t="shared" si="0"/>
        <v>423266.66666666669</v>
      </c>
      <c r="I10" s="38">
        <f>'Debt Schedule'!I19</f>
        <v>536541.90098659589</v>
      </c>
      <c r="J10" s="30">
        <f t="shared" si="1"/>
        <v>-113275.23431992921</v>
      </c>
      <c r="K10" s="39">
        <f t="shared" si="2"/>
        <v>0.78887905285376936</v>
      </c>
      <c r="L10" s="30">
        <f>SUM($J$4:J10)</f>
        <v>-792926.64023950463</v>
      </c>
    </row>
    <row r="11" spans="1:12" x14ac:dyDescent="0.3">
      <c r="B11" s="32">
        <v>8</v>
      </c>
      <c r="C11" s="33">
        <f>EDATE(DATE(2024,1,1),7)</f>
        <v>45505</v>
      </c>
      <c r="D11" s="40" t="str">
        <f>IF(8&gt;Inputs!$C$74,"Expired",IF(Inputs!$C$68&gt;0,IF(8&lt;Inputs!$C$68,"Paying",IF(8&lt;Inputs!$C$68+Inputs!$C$85,"Default","Re-Lease")),"Paying"))</f>
        <v>Paying</v>
      </c>
      <c r="E11" s="34">
        <f>IF(D11="Expired",0,IF(D11="Default",0,IF(D11="Re-Lease",Inputs!$C$71*Inputs!$C$86,Inputs!$C$73)))</f>
        <v>561600</v>
      </c>
      <c r="F11" s="34">
        <f>(Inputs!$C$82*(1+Inputs!$C$83)^0)/12+IF(8=Inputs!$C$68,Inputs!$C$69/12,0)</f>
        <v>85833.333333333328</v>
      </c>
      <c r="G11" s="34">
        <f>IF(D11="Expired",0,(IF(Inputs!$C$5=1,(Inputs!C38+Inputs!C39)/12,(Inputs!F38+Inputs!F39)/12)*(1+Inputs!$C$83)^0))</f>
        <v>52500</v>
      </c>
      <c r="H11" s="34">
        <f t="shared" si="0"/>
        <v>423266.66666666669</v>
      </c>
      <c r="I11" s="41">
        <f>'Debt Schedule'!I20</f>
        <v>536541.90098659589</v>
      </c>
      <c r="J11" s="34">
        <f t="shared" si="1"/>
        <v>-113275.23431992921</v>
      </c>
      <c r="K11" s="42">
        <f t="shared" si="2"/>
        <v>0.78887905285376936</v>
      </c>
      <c r="L11" s="34">
        <f>SUM($J$4:J11)</f>
        <v>-906201.8745594339</v>
      </c>
    </row>
    <row r="12" spans="1:12" x14ac:dyDescent="0.3">
      <c r="B12" s="28">
        <v>9</v>
      </c>
      <c r="C12" s="29">
        <f>EDATE(DATE(2024,1,1),8)</f>
        <v>45536</v>
      </c>
      <c r="D12" s="37" t="str">
        <f>IF(9&gt;Inputs!$C$74,"Expired",IF(Inputs!$C$68&gt;0,IF(9&lt;Inputs!$C$68,"Paying",IF(9&lt;Inputs!$C$68+Inputs!$C$85,"Default","Re-Lease")),"Paying"))</f>
        <v>Paying</v>
      </c>
      <c r="E12" s="30">
        <f>IF(D12="Expired",0,IF(D12="Default",0,IF(D12="Re-Lease",Inputs!$C$71*Inputs!$C$86,Inputs!$C$73)))</f>
        <v>561600</v>
      </c>
      <c r="F12" s="30">
        <f>(Inputs!$C$82*(1+Inputs!$C$83)^0)/12+IF(9=Inputs!$C$68,Inputs!$C$69/12,0)</f>
        <v>85833.333333333328</v>
      </c>
      <c r="G12" s="30">
        <f>IF(D12="Expired",0,(IF(Inputs!$C$5=1,(Inputs!C38+Inputs!C39)/12,(Inputs!F38+Inputs!F39)/12)*(1+Inputs!$C$83)^0))</f>
        <v>52500</v>
      </c>
      <c r="H12" s="30">
        <f t="shared" si="0"/>
        <v>423266.66666666669</v>
      </c>
      <c r="I12" s="38">
        <f>'Debt Schedule'!I21</f>
        <v>536541.90098659589</v>
      </c>
      <c r="J12" s="30">
        <f t="shared" si="1"/>
        <v>-113275.23431992921</v>
      </c>
      <c r="K12" s="39">
        <f t="shared" si="2"/>
        <v>0.78887905285376936</v>
      </c>
      <c r="L12" s="30">
        <f>SUM($J$4:J12)</f>
        <v>-1019477.1088793632</v>
      </c>
    </row>
    <row r="13" spans="1:12" x14ac:dyDescent="0.3">
      <c r="B13" s="32">
        <v>10</v>
      </c>
      <c r="C13" s="33">
        <f>EDATE(DATE(2024,1,1),9)</f>
        <v>45566</v>
      </c>
      <c r="D13" s="40" t="str">
        <f>IF(10&gt;Inputs!$C$74,"Expired",IF(Inputs!$C$68&gt;0,IF(10&lt;Inputs!$C$68,"Paying",IF(10&lt;Inputs!$C$68+Inputs!$C$85,"Default","Re-Lease")),"Paying"))</f>
        <v>Paying</v>
      </c>
      <c r="E13" s="34">
        <f>IF(D13="Expired",0,IF(D13="Default",0,IF(D13="Re-Lease",Inputs!$C$71*Inputs!$C$86,Inputs!$C$73)))</f>
        <v>561600</v>
      </c>
      <c r="F13" s="34">
        <f>(Inputs!$C$82*(1+Inputs!$C$83)^0)/12+IF(10=Inputs!$C$68,Inputs!$C$69/12,0)</f>
        <v>85833.333333333328</v>
      </c>
      <c r="G13" s="34">
        <f>IF(D13="Expired",0,(IF(Inputs!$C$5=1,(Inputs!C38+Inputs!C39)/12,(Inputs!F38+Inputs!F39)/12)*(1+Inputs!$C$83)^0))</f>
        <v>52500</v>
      </c>
      <c r="H13" s="34">
        <f t="shared" si="0"/>
        <v>423266.66666666669</v>
      </c>
      <c r="I13" s="41">
        <f>'Debt Schedule'!I22</f>
        <v>536541.90098659589</v>
      </c>
      <c r="J13" s="34">
        <f t="shared" si="1"/>
        <v>-113275.23431992921</v>
      </c>
      <c r="K13" s="42">
        <f t="shared" si="2"/>
        <v>0.78887905285376936</v>
      </c>
      <c r="L13" s="34">
        <f>SUM($J$4:J13)</f>
        <v>-1132752.3431992924</v>
      </c>
    </row>
    <row r="14" spans="1:12" x14ac:dyDescent="0.3">
      <c r="B14" s="28">
        <v>11</v>
      </c>
      <c r="C14" s="29">
        <f>EDATE(DATE(2024,1,1),10)</f>
        <v>45597</v>
      </c>
      <c r="D14" s="37" t="str">
        <f>IF(11&gt;Inputs!$C$74,"Expired",IF(Inputs!$C$68&gt;0,IF(11&lt;Inputs!$C$68,"Paying",IF(11&lt;Inputs!$C$68+Inputs!$C$85,"Default","Re-Lease")),"Paying"))</f>
        <v>Paying</v>
      </c>
      <c r="E14" s="30">
        <f>IF(D14="Expired",0,IF(D14="Default",0,IF(D14="Re-Lease",Inputs!$C$71*Inputs!$C$86,Inputs!$C$73)))</f>
        <v>561600</v>
      </c>
      <c r="F14" s="30">
        <f>(Inputs!$C$82*(1+Inputs!$C$83)^0)/12+IF(11=Inputs!$C$68,Inputs!$C$69/12,0)</f>
        <v>85833.333333333328</v>
      </c>
      <c r="G14" s="30">
        <f>IF(D14="Expired",0,(IF(Inputs!$C$5=1,(Inputs!C38+Inputs!C39)/12,(Inputs!F38+Inputs!F39)/12)*(1+Inputs!$C$83)^0))</f>
        <v>52500</v>
      </c>
      <c r="H14" s="30">
        <f t="shared" si="0"/>
        <v>423266.66666666669</v>
      </c>
      <c r="I14" s="38">
        <f>'Debt Schedule'!I23</f>
        <v>536541.90098659589</v>
      </c>
      <c r="J14" s="30">
        <f t="shared" si="1"/>
        <v>-113275.23431992921</v>
      </c>
      <c r="K14" s="39">
        <f t="shared" si="2"/>
        <v>0.78887905285376936</v>
      </c>
      <c r="L14" s="30">
        <f>SUM($J$4:J14)</f>
        <v>-1246027.5775192217</v>
      </c>
    </row>
    <row r="15" spans="1:12" x14ac:dyDescent="0.3">
      <c r="B15" s="32">
        <v>12</v>
      </c>
      <c r="C15" s="33">
        <f>EDATE(DATE(2024,1,1),11)</f>
        <v>45627</v>
      </c>
      <c r="D15" s="40" t="str">
        <f>IF(12&gt;Inputs!$C$74,"Expired",IF(Inputs!$C$68&gt;0,IF(12&lt;Inputs!$C$68,"Paying",IF(12&lt;Inputs!$C$68+Inputs!$C$85,"Default","Re-Lease")),"Paying"))</f>
        <v>Paying</v>
      </c>
      <c r="E15" s="34">
        <f>IF(D15="Expired",0,IF(D15="Default",0,IF(D15="Re-Lease",Inputs!$C$71*Inputs!$C$86,Inputs!$C$73)))</f>
        <v>561600</v>
      </c>
      <c r="F15" s="34">
        <f>(Inputs!$C$82*(1+Inputs!$C$83)^0)/12+IF(12=Inputs!$C$68,Inputs!$C$69/12,0)</f>
        <v>85833.333333333328</v>
      </c>
      <c r="G15" s="34">
        <f>IF(D15="Expired",0,(IF(Inputs!$C$5=1,(Inputs!C38+Inputs!C39)/12,(Inputs!F38+Inputs!F39)/12)*(1+Inputs!$C$83)^0))</f>
        <v>52500</v>
      </c>
      <c r="H15" s="34">
        <f t="shared" si="0"/>
        <v>423266.66666666669</v>
      </c>
      <c r="I15" s="41">
        <f>'Debt Schedule'!I24</f>
        <v>536541.90098659589</v>
      </c>
      <c r="J15" s="34">
        <f t="shared" si="1"/>
        <v>-113275.23431992921</v>
      </c>
      <c r="K15" s="42">
        <f t="shared" si="2"/>
        <v>0.78887905285376936</v>
      </c>
      <c r="L15" s="34">
        <f>SUM($J$4:J15)</f>
        <v>-1359302.811839151</v>
      </c>
    </row>
    <row r="16" spans="1:12" x14ac:dyDescent="0.3">
      <c r="B16" s="28">
        <v>13</v>
      </c>
      <c r="C16" s="29">
        <f>EDATE(DATE(2024,1,1),12)</f>
        <v>45658</v>
      </c>
      <c r="D16" s="37" t="str">
        <f>IF(13&gt;Inputs!$C$74,"Expired",IF(Inputs!$C$68&gt;0,IF(13&lt;Inputs!$C$68,"Paying",IF(13&lt;Inputs!$C$68+Inputs!$C$85,"Default","Re-Lease")),"Paying"))</f>
        <v>Paying</v>
      </c>
      <c r="E16" s="30">
        <f>IF(D16="Expired",0,IF(D16="Default",0,IF(D16="Re-Lease",Inputs!$C$71*Inputs!$C$86,Inputs!$C$73)))</f>
        <v>561600</v>
      </c>
      <c r="F16" s="30">
        <f>(Inputs!$C$82*(1+Inputs!$C$83)^1)/12+IF(13=Inputs!$C$68,Inputs!$C$69/12,0)</f>
        <v>87979.166666666672</v>
      </c>
      <c r="G16" s="30">
        <f>IF(D16="Expired",0,(IF(Inputs!$C$5=1,(Inputs!C38+Inputs!C39)/12,(Inputs!F38+Inputs!F39)/12)*(1+Inputs!$C$83)^1))</f>
        <v>53812.499999999993</v>
      </c>
      <c r="H16" s="30">
        <f t="shared" si="0"/>
        <v>419808.33333333331</v>
      </c>
      <c r="I16" s="38">
        <f>'Debt Schedule'!I25</f>
        <v>536541.90098659589</v>
      </c>
      <c r="J16" s="30">
        <f t="shared" si="1"/>
        <v>-116733.56765326258</v>
      </c>
      <c r="K16" s="39">
        <f t="shared" si="2"/>
        <v>0.78243345498531924</v>
      </c>
      <c r="L16" s="30">
        <f>SUM($J$4:J16)</f>
        <v>-1476036.3794924135</v>
      </c>
    </row>
    <row r="17" spans="2:12" x14ac:dyDescent="0.3">
      <c r="B17" s="32">
        <v>14</v>
      </c>
      <c r="C17" s="33">
        <f>EDATE(DATE(2024,1,1),13)</f>
        <v>45689</v>
      </c>
      <c r="D17" s="40" t="str">
        <f>IF(14&gt;Inputs!$C$74,"Expired",IF(Inputs!$C$68&gt;0,IF(14&lt;Inputs!$C$68,"Paying",IF(14&lt;Inputs!$C$68+Inputs!$C$85,"Default","Re-Lease")),"Paying"))</f>
        <v>Paying</v>
      </c>
      <c r="E17" s="34">
        <f>IF(D17="Expired",0,IF(D17="Default",0,IF(D17="Re-Lease",Inputs!$C$71*Inputs!$C$86,Inputs!$C$73)))</f>
        <v>561600</v>
      </c>
      <c r="F17" s="34">
        <f>(Inputs!$C$82*(1+Inputs!$C$83)^1)/12+IF(14=Inputs!$C$68,Inputs!$C$69/12,0)</f>
        <v>87979.166666666672</v>
      </c>
      <c r="G17" s="34">
        <f>IF(D17="Expired",0,(IF(Inputs!$C$5=1,(Inputs!C38+Inputs!C39)/12,(Inputs!F38+Inputs!F39)/12)*(1+Inputs!$C$83)^1))</f>
        <v>53812.499999999993</v>
      </c>
      <c r="H17" s="34">
        <f t="shared" si="0"/>
        <v>419808.33333333331</v>
      </c>
      <c r="I17" s="41">
        <f>'Debt Schedule'!I26</f>
        <v>536541.90098659589</v>
      </c>
      <c r="J17" s="34">
        <f t="shared" si="1"/>
        <v>-116733.56765326258</v>
      </c>
      <c r="K17" s="42">
        <f t="shared" si="2"/>
        <v>0.78243345498531924</v>
      </c>
      <c r="L17" s="34">
        <f>SUM($J$4:J17)</f>
        <v>-1592769.947145676</v>
      </c>
    </row>
    <row r="18" spans="2:12" x14ac:dyDescent="0.3">
      <c r="B18" s="28">
        <v>15</v>
      </c>
      <c r="C18" s="29">
        <f>EDATE(DATE(2024,1,1),14)</f>
        <v>45717</v>
      </c>
      <c r="D18" s="37" t="str">
        <f>IF(15&gt;Inputs!$C$74,"Expired",IF(Inputs!$C$68&gt;0,IF(15&lt;Inputs!$C$68,"Paying",IF(15&lt;Inputs!$C$68+Inputs!$C$85,"Default","Re-Lease")),"Paying"))</f>
        <v>Paying</v>
      </c>
      <c r="E18" s="30">
        <f>IF(D18="Expired",0,IF(D18="Default",0,IF(D18="Re-Lease",Inputs!$C$71*Inputs!$C$86,Inputs!$C$73)))</f>
        <v>561600</v>
      </c>
      <c r="F18" s="30">
        <f>(Inputs!$C$82*(1+Inputs!$C$83)^1)/12+IF(15=Inputs!$C$68,Inputs!$C$69/12,0)</f>
        <v>87979.166666666672</v>
      </c>
      <c r="G18" s="30">
        <f>IF(D18="Expired",0,(IF(Inputs!$C$5=1,(Inputs!C38+Inputs!C39)/12,(Inputs!F38+Inputs!F39)/12)*(1+Inputs!$C$83)^1))</f>
        <v>53812.499999999993</v>
      </c>
      <c r="H18" s="30">
        <f t="shared" si="0"/>
        <v>419808.33333333331</v>
      </c>
      <c r="I18" s="38">
        <f>'Debt Schedule'!I27</f>
        <v>536541.90098659589</v>
      </c>
      <c r="J18" s="30">
        <f t="shared" si="1"/>
        <v>-116733.56765326258</v>
      </c>
      <c r="K18" s="39">
        <f t="shared" si="2"/>
        <v>0.78243345498531924</v>
      </c>
      <c r="L18" s="30">
        <f>SUM($J$4:J18)</f>
        <v>-1709503.5147989385</v>
      </c>
    </row>
    <row r="19" spans="2:12" x14ac:dyDescent="0.3">
      <c r="B19" s="32">
        <v>16</v>
      </c>
      <c r="C19" s="33">
        <f>EDATE(DATE(2024,1,1),15)</f>
        <v>45748</v>
      </c>
      <c r="D19" s="40" t="str">
        <f>IF(16&gt;Inputs!$C$74,"Expired",IF(Inputs!$C$68&gt;0,IF(16&lt;Inputs!$C$68,"Paying",IF(16&lt;Inputs!$C$68+Inputs!$C$85,"Default","Re-Lease")),"Paying"))</f>
        <v>Paying</v>
      </c>
      <c r="E19" s="34">
        <f>IF(D19="Expired",0,IF(D19="Default",0,IF(D19="Re-Lease",Inputs!$C$71*Inputs!$C$86,Inputs!$C$73)))</f>
        <v>561600</v>
      </c>
      <c r="F19" s="34">
        <f>(Inputs!$C$82*(1+Inputs!$C$83)^1)/12+IF(16=Inputs!$C$68,Inputs!$C$69/12,0)</f>
        <v>87979.166666666672</v>
      </c>
      <c r="G19" s="34">
        <f>IF(D19="Expired",0,(IF(Inputs!$C$5=1,(Inputs!C38+Inputs!C39)/12,(Inputs!F38+Inputs!F39)/12)*(1+Inputs!$C$83)^1))</f>
        <v>53812.499999999993</v>
      </c>
      <c r="H19" s="34">
        <f t="shared" si="0"/>
        <v>419808.33333333331</v>
      </c>
      <c r="I19" s="41">
        <f>'Debt Schedule'!I28</f>
        <v>536541.90098659589</v>
      </c>
      <c r="J19" s="34">
        <f t="shared" si="1"/>
        <v>-116733.56765326258</v>
      </c>
      <c r="K19" s="42">
        <f t="shared" si="2"/>
        <v>0.78243345498531924</v>
      </c>
      <c r="L19" s="34">
        <f>SUM($J$4:J19)</f>
        <v>-1826237.0824522011</v>
      </c>
    </row>
    <row r="20" spans="2:12" x14ac:dyDescent="0.3">
      <c r="B20" s="28">
        <v>17</v>
      </c>
      <c r="C20" s="29">
        <f>EDATE(DATE(2024,1,1),16)</f>
        <v>45778</v>
      </c>
      <c r="D20" s="37" t="str">
        <f>IF(17&gt;Inputs!$C$74,"Expired",IF(Inputs!$C$68&gt;0,IF(17&lt;Inputs!$C$68,"Paying",IF(17&lt;Inputs!$C$68+Inputs!$C$85,"Default","Re-Lease")),"Paying"))</f>
        <v>Paying</v>
      </c>
      <c r="E20" s="30">
        <f>IF(D20="Expired",0,IF(D20="Default",0,IF(D20="Re-Lease",Inputs!$C$71*Inputs!$C$86,Inputs!$C$73)))</f>
        <v>561600</v>
      </c>
      <c r="F20" s="30">
        <f>(Inputs!$C$82*(1+Inputs!$C$83)^1)/12+IF(17=Inputs!$C$68,Inputs!$C$69/12,0)</f>
        <v>87979.166666666672</v>
      </c>
      <c r="G20" s="30">
        <f>IF(D20="Expired",0,(IF(Inputs!$C$5=1,(Inputs!C38+Inputs!C39)/12,(Inputs!F38+Inputs!F39)/12)*(1+Inputs!$C$83)^1))</f>
        <v>53812.499999999993</v>
      </c>
      <c r="H20" s="30">
        <f t="shared" si="0"/>
        <v>419808.33333333331</v>
      </c>
      <c r="I20" s="38">
        <f>'Debt Schedule'!I29</f>
        <v>536541.90098659589</v>
      </c>
      <c r="J20" s="30">
        <f t="shared" si="1"/>
        <v>-116733.56765326258</v>
      </c>
      <c r="K20" s="39">
        <f t="shared" si="2"/>
        <v>0.78243345498531924</v>
      </c>
      <c r="L20" s="30">
        <f>SUM($J$4:J20)</f>
        <v>-1942970.6501054636</v>
      </c>
    </row>
    <row r="21" spans="2:12" x14ac:dyDescent="0.3">
      <c r="B21" s="32">
        <v>18</v>
      </c>
      <c r="C21" s="33">
        <f>EDATE(DATE(2024,1,1),17)</f>
        <v>45809</v>
      </c>
      <c r="D21" s="40" t="str">
        <f>IF(18&gt;Inputs!$C$74,"Expired",IF(Inputs!$C$68&gt;0,IF(18&lt;Inputs!$C$68,"Paying",IF(18&lt;Inputs!$C$68+Inputs!$C$85,"Default","Re-Lease")),"Paying"))</f>
        <v>Paying</v>
      </c>
      <c r="E21" s="34">
        <f>IF(D21="Expired",0,IF(D21="Default",0,IF(D21="Re-Lease",Inputs!$C$71*Inputs!$C$86,Inputs!$C$73)))</f>
        <v>561600</v>
      </c>
      <c r="F21" s="34">
        <f>(Inputs!$C$82*(1+Inputs!$C$83)^1)/12+IF(18=Inputs!$C$68,Inputs!$C$69/12,0)</f>
        <v>87979.166666666672</v>
      </c>
      <c r="G21" s="34">
        <f>IF(D21="Expired",0,(IF(Inputs!$C$5=1,(Inputs!C38+Inputs!C39)/12,(Inputs!F38+Inputs!F39)/12)*(1+Inputs!$C$83)^1))</f>
        <v>53812.499999999993</v>
      </c>
      <c r="H21" s="34">
        <f t="shared" si="0"/>
        <v>419808.33333333331</v>
      </c>
      <c r="I21" s="41">
        <f>'Debt Schedule'!I30</f>
        <v>536541.90098659589</v>
      </c>
      <c r="J21" s="34">
        <f t="shared" si="1"/>
        <v>-116733.56765326258</v>
      </c>
      <c r="K21" s="42">
        <f t="shared" si="2"/>
        <v>0.78243345498531924</v>
      </c>
      <c r="L21" s="34">
        <f>SUM($J$4:J21)</f>
        <v>-2059704.2177587261</v>
      </c>
    </row>
    <row r="22" spans="2:12" x14ac:dyDescent="0.3">
      <c r="B22" s="28">
        <v>19</v>
      </c>
      <c r="C22" s="29">
        <f>EDATE(DATE(2024,1,1),18)</f>
        <v>45839</v>
      </c>
      <c r="D22" s="37" t="str">
        <f>IF(19&gt;Inputs!$C$74,"Expired",IF(Inputs!$C$68&gt;0,IF(19&lt;Inputs!$C$68,"Paying",IF(19&lt;Inputs!$C$68+Inputs!$C$85,"Default","Re-Lease")),"Paying"))</f>
        <v>Paying</v>
      </c>
      <c r="E22" s="30">
        <f>IF(D22="Expired",0,IF(D22="Default",0,IF(D22="Re-Lease",Inputs!$C$71*Inputs!$C$86,Inputs!$C$73)))</f>
        <v>561600</v>
      </c>
      <c r="F22" s="30">
        <f>(Inputs!$C$82*(1+Inputs!$C$83)^1)/12+IF(19=Inputs!$C$68,Inputs!$C$69/12,0)</f>
        <v>87979.166666666672</v>
      </c>
      <c r="G22" s="30">
        <f>IF(D22="Expired",0,(IF(Inputs!$C$5=1,(Inputs!C38+Inputs!C39)/12,(Inputs!F38+Inputs!F39)/12)*(1+Inputs!$C$83)^1))</f>
        <v>53812.499999999993</v>
      </c>
      <c r="H22" s="30">
        <f t="shared" si="0"/>
        <v>419808.33333333331</v>
      </c>
      <c r="I22" s="38">
        <f>'Debt Schedule'!I31</f>
        <v>536541.90098659589</v>
      </c>
      <c r="J22" s="30">
        <f t="shared" si="1"/>
        <v>-116733.56765326258</v>
      </c>
      <c r="K22" s="39">
        <f t="shared" si="2"/>
        <v>0.78243345498531924</v>
      </c>
      <c r="L22" s="30">
        <f>SUM($J$4:J22)</f>
        <v>-2176437.7854119889</v>
      </c>
    </row>
    <row r="23" spans="2:12" x14ac:dyDescent="0.3">
      <c r="B23" s="32">
        <v>20</v>
      </c>
      <c r="C23" s="33">
        <f>EDATE(DATE(2024,1,1),19)</f>
        <v>45870</v>
      </c>
      <c r="D23" s="40" t="str">
        <f>IF(20&gt;Inputs!$C$74,"Expired",IF(Inputs!$C$68&gt;0,IF(20&lt;Inputs!$C$68,"Paying",IF(20&lt;Inputs!$C$68+Inputs!$C$85,"Default","Re-Lease")),"Paying"))</f>
        <v>Paying</v>
      </c>
      <c r="E23" s="34">
        <f>IF(D23="Expired",0,IF(D23="Default",0,IF(D23="Re-Lease",Inputs!$C$71*Inputs!$C$86,Inputs!$C$73)))</f>
        <v>561600</v>
      </c>
      <c r="F23" s="34">
        <f>(Inputs!$C$82*(1+Inputs!$C$83)^1)/12+IF(20=Inputs!$C$68,Inputs!$C$69/12,0)</f>
        <v>87979.166666666672</v>
      </c>
      <c r="G23" s="34">
        <f>IF(D23="Expired",0,(IF(Inputs!$C$5=1,(Inputs!C38+Inputs!C39)/12,(Inputs!F38+Inputs!F39)/12)*(1+Inputs!$C$83)^1))</f>
        <v>53812.499999999993</v>
      </c>
      <c r="H23" s="34">
        <f t="shared" si="0"/>
        <v>419808.33333333331</v>
      </c>
      <c r="I23" s="41">
        <f>'Debt Schedule'!I32</f>
        <v>536541.90098659589</v>
      </c>
      <c r="J23" s="34">
        <f t="shared" si="1"/>
        <v>-116733.56765326258</v>
      </c>
      <c r="K23" s="42">
        <f t="shared" si="2"/>
        <v>0.78243345498531924</v>
      </c>
      <c r="L23" s="34">
        <f>SUM($J$4:J23)</f>
        <v>-2293171.3530652514</v>
      </c>
    </row>
    <row r="24" spans="2:12" x14ac:dyDescent="0.3">
      <c r="B24" s="28">
        <v>21</v>
      </c>
      <c r="C24" s="29">
        <f>EDATE(DATE(2024,1,1),20)</f>
        <v>45901</v>
      </c>
      <c r="D24" s="37" t="str">
        <f>IF(21&gt;Inputs!$C$74,"Expired",IF(Inputs!$C$68&gt;0,IF(21&lt;Inputs!$C$68,"Paying",IF(21&lt;Inputs!$C$68+Inputs!$C$85,"Default","Re-Lease")),"Paying"))</f>
        <v>Paying</v>
      </c>
      <c r="E24" s="30">
        <f>IF(D24="Expired",0,IF(D24="Default",0,IF(D24="Re-Lease",Inputs!$C$71*Inputs!$C$86,Inputs!$C$73)))</f>
        <v>561600</v>
      </c>
      <c r="F24" s="30">
        <f>(Inputs!$C$82*(1+Inputs!$C$83)^1)/12+IF(21=Inputs!$C$68,Inputs!$C$69/12,0)</f>
        <v>87979.166666666672</v>
      </c>
      <c r="G24" s="30">
        <f>IF(D24="Expired",0,(IF(Inputs!$C$5=1,(Inputs!C38+Inputs!C39)/12,(Inputs!F38+Inputs!F39)/12)*(1+Inputs!$C$83)^1))</f>
        <v>53812.499999999993</v>
      </c>
      <c r="H24" s="30">
        <f t="shared" si="0"/>
        <v>419808.33333333331</v>
      </c>
      <c r="I24" s="38">
        <f>'Debt Schedule'!I33</f>
        <v>536541.90098659589</v>
      </c>
      <c r="J24" s="30">
        <f t="shared" si="1"/>
        <v>-116733.56765326258</v>
      </c>
      <c r="K24" s="39">
        <f t="shared" si="2"/>
        <v>0.78243345498531924</v>
      </c>
      <c r="L24" s="30">
        <f>SUM($J$4:J24)</f>
        <v>-2409904.9207185139</v>
      </c>
    </row>
    <row r="25" spans="2:12" x14ac:dyDescent="0.3">
      <c r="B25" s="32">
        <v>22</v>
      </c>
      <c r="C25" s="33">
        <f>EDATE(DATE(2024,1,1),21)</f>
        <v>45931</v>
      </c>
      <c r="D25" s="40" t="str">
        <f>IF(22&gt;Inputs!$C$74,"Expired",IF(Inputs!$C$68&gt;0,IF(22&lt;Inputs!$C$68,"Paying",IF(22&lt;Inputs!$C$68+Inputs!$C$85,"Default","Re-Lease")),"Paying"))</f>
        <v>Paying</v>
      </c>
      <c r="E25" s="34">
        <f>IF(D25="Expired",0,IF(D25="Default",0,IF(D25="Re-Lease",Inputs!$C$71*Inputs!$C$86,Inputs!$C$73)))</f>
        <v>561600</v>
      </c>
      <c r="F25" s="34">
        <f>(Inputs!$C$82*(1+Inputs!$C$83)^1)/12+IF(22=Inputs!$C$68,Inputs!$C$69/12,0)</f>
        <v>87979.166666666672</v>
      </c>
      <c r="G25" s="34">
        <f>IF(D25="Expired",0,(IF(Inputs!$C$5=1,(Inputs!C38+Inputs!C39)/12,(Inputs!F38+Inputs!F39)/12)*(1+Inputs!$C$83)^1))</f>
        <v>53812.499999999993</v>
      </c>
      <c r="H25" s="34">
        <f t="shared" si="0"/>
        <v>419808.33333333331</v>
      </c>
      <c r="I25" s="41">
        <f>'Debt Schedule'!I34</f>
        <v>536541.90098659589</v>
      </c>
      <c r="J25" s="34">
        <f t="shared" si="1"/>
        <v>-116733.56765326258</v>
      </c>
      <c r="K25" s="42">
        <f t="shared" si="2"/>
        <v>0.78243345498531924</v>
      </c>
      <c r="L25" s="34">
        <f>SUM($J$4:J25)</f>
        <v>-2526638.4883717764</v>
      </c>
    </row>
    <row r="26" spans="2:12" x14ac:dyDescent="0.3">
      <c r="B26" s="28">
        <v>23</v>
      </c>
      <c r="C26" s="29">
        <f>EDATE(DATE(2024,1,1),22)</f>
        <v>45962</v>
      </c>
      <c r="D26" s="37" t="str">
        <f>IF(23&gt;Inputs!$C$74,"Expired",IF(Inputs!$C$68&gt;0,IF(23&lt;Inputs!$C$68,"Paying",IF(23&lt;Inputs!$C$68+Inputs!$C$85,"Default","Re-Lease")),"Paying"))</f>
        <v>Paying</v>
      </c>
      <c r="E26" s="30">
        <f>IF(D26="Expired",0,IF(D26="Default",0,IF(D26="Re-Lease",Inputs!$C$71*Inputs!$C$86,Inputs!$C$73)))</f>
        <v>561600</v>
      </c>
      <c r="F26" s="30">
        <f>(Inputs!$C$82*(1+Inputs!$C$83)^1)/12+IF(23=Inputs!$C$68,Inputs!$C$69/12,0)</f>
        <v>87979.166666666672</v>
      </c>
      <c r="G26" s="30">
        <f>IF(D26="Expired",0,(IF(Inputs!$C$5=1,(Inputs!C38+Inputs!C39)/12,(Inputs!F38+Inputs!F39)/12)*(1+Inputs!$C$83)^1))</f>
        <v>53812.499999999993</v>
      </c>
      <c r="H26" s="30">
        <f t="shared" si="0"/>
        <v>419808.33333333331</v>
      </c>
      <c r="I26" s="38">
        <f>'Debt Schedule'!I35</f>
        <v>536541.90098659589</v>
      </c>
      <c r="J26" s="30">
        <f t="shared" si="1"/>
        <v>-116733.56765326258</v>
      </c>
      <c r="K26" s="39">
        <f t="shared" si="2"/>
        <v>0.78243345498531924</v>
      </c>
      <c r="L26" s="30">
        <f>SUM($J$4:J26)</f>
        <v>-2643372.0560250389</v>
      </c>
    </row>
    <row r="27" spans="2:12" x14ac:dyDescent="0.3">
      <c r="B27" s="32">
        <v>24</v>
      </c>
      <c r="C27" s="33">
        <f>EDATE(DATE(2024,1,1),23)</f>
        <v>45992</v>
      </c>
      <c r="D27" s="40" t="str">
        <f>IF(24&gt;Inputs!$C$74,"Expired",IF(Inputs!$C$68&gt;0,IF(24&lt;Inputs!$C$68,"Paying",IF(24&lt;Inputs!$C$68+Inputs!$C$85,"Default","Re-Lease")),"Paying"))</f>
        <v>Paying</v>
      </c>
      <c r="E27" s="34">
        <f>IF(D27="Expired",0,IF(D27="Default",0,IF(D27="Re-Lease",Inputs!$C$71*Inputs!$C$86,Inputs!$C$73)))</f>
        <v>561600</v>
      </c>
      <c r="F27" s="34">
        <f>(Inputs!$C$82*(1+Inputs!$C$83)^1)/12+IF(24=Inputs!$C$68,Inputs!$C$69/12,0)</f>
        <v>87979.166666666672</v>
      </c>
      <c r="G27" s="34">
        <f>IF(D27="Expired",0,(IF(Inputs!$C$5=1,(Inputs!C38+Inputs!C39)/12,(Inputs!F38+Inputs!F39)/12)*(1+Inputs!$C$83)^1))</f>
        <v>53812.499999999993</v>
      </c>
      <c r="H27" s="34">
        <f t="shared" si="0"/>
        <v>419808.33333333331</v>
      </c>
      <c r="I27" s="41">
        <f>'Debt Schedule'!I36</f>
        <v>536541.90098659589</v>
      </c>
      <c r="J27" s="34">
        <f t="shared" si="1"/>
        <v>-116733.56765326258</v>
      </c>
      <c r="K27" s="42">
        <f t="shared" si="2"/>
        <v>0.78243345498531924</v>
      </c>
      <c r="L27" s="34">
        <f>SUM($J$4:J27)</f>
        <v>-2760105.6236783015</v>
      </c>
    </row>
    <row r="28" spans="2:12" x14ac:dyDescent="0.3">
      <c r="B28" s="28">
        <v>25</v>
      </c>
      <c r="C28" s="29">
        <f>EDATE(DATE(2024,1,1),24)</f>
        <v>46023</v>
      </c>
      <c r="D28" s="37" t="str">
        <f>IF(25&gt;Inputs!$C$74,"Expired",IF(Inputs!$C$68&gt;0,IF(25&lt;Inputs!$C$68,"Paying",IF(25&lt;Inputs!$C$68+Inputs!$C$85,"Default","Re-Lease")),"Paying"))</f>
        <v>Paying</v>
      </c>
      <c r="E28" s="30">
        <f>IF(D28="Expired",0,IF(D28="Default",0,IF(D28="Re-Lease",Inputs!$C$71*Inputs!$C$86,Inputs!$C$73)))</f>
        <v>561600</v>
      </c>
      <c r="F28" s="30">
        <f>(Inputs!$C$82*(1+Inputs!$C$83)^2)/12+IF(25=Inputs!$C$68,Inputs!$C$69/12,0)</f>
        <v>90178.645833333328</v>
      </c>
      <c r="G28" s="30">
        <f>IF(D28="Expired",0,(IF(Inputs!$C$5=1,(Inputs!C38+Inputs!C39)/12,(Inputs!F38+Inputs!F39)/12)*(1+Inputs!$C$83)^2))</f>
        <v>55157.812499999993</v>
      </c>
      <c r="H28" s="30">
        <f t="shared" si="0"/>
        <v>416263.54166666669</v>
      </c>
      <c r="I28" s="38">
        <f>'Debt Schedule'!I37</f>
        <v>536541.90098659589</v>
      </c>
      <c r="J28" s="30">
        <f t="shared" si="1"/>
        <v>-120278.35931992921</v>
      </c>
      <c r="K28" s="39">
        <f t="shared" si="2"/>
        <v>0.77582671717015805</v>
      </c>
      <c r="L28" s="30">
        <f>SUM($J$4:J28)</f>
        <v>-2880383.9829982305</v>
      </c>
    </row>
    <row r="29" spans="2:12" x14ac:dyDescent="0.3">
      <c r="B29" s="32">
        <v>26</v>
      </c>
      <c r="C29" s="33">
        <f>EDATE(DATE(2024,1,1),25)</f>
        <v>46054</v>
      </c>
      <c r="D29" s="40" t="str">
        <f>IF(26&gt;Inputs!$C$74,"Expired",IF(Inputs!$C$68&gt;0,IF(26&lt;Inputs!$C$68,"Paying",IF(26&lt;Inputs!$C$68+Inputs!$C$85,"Default","Re-Lease")),"Paying"))</f>
        <v>Paying</v>
      </c>
      <c r="E29" s="34">
        <f>IF(D29="Expired",0,IF(D29="Default",0,IF(D29="Re-Lease",Inputs!$C$71*Inputs!$C$86,Inputs!$C$73)))</f>
        <v>561600</v>
      </c>
      <c r="F29" s="34">
        <f>(Inputs!$C$82*(1+Inputs!$C$83)^2)/12+IF(26=Inputs!$C$68,Inputs!$C$69/12,0)</f>
        <v>90178.645833333328</v>
      </c>
      <c r="G29" s="34">
        <f>IF(D29="Expired",0,(IF(Inputs!$C$5=1,(Inputs!C38+Inputs!C39)/12,(Inputs!F38+Inputs!F39)/12)*(1+Inputs!$C$83)^2))</f>
        <v>55157.812499999993</v>
      </c>
      <c r="H29" s="34">
        <f t="shared" si="0"/>
        <v>416263.54166666669</v>
      </c>
      <c r="I29" s="41">
        <f>'Debt Schedule'!I38</f>
        <v>536541.90098659589</v>
      </c>
      <c r="J29" s="34">
        <f t="shared" si="1"/>
        <v>-120278.35931992921</v>
      </c>
      <c r="K29" s="42">
        <f t="shared" si="2"/>
        <v>0.77582671717015805</v>
      </c>
      <c r="L29" s="34">
        <f>SUM($J$4:J29)</f>
        <v>-3000662.3423181595</v>
      </c>
    </row>
    <row r="30" spans="2:12" x14ac:dyDescent="0.3">
      <c r="B30" s="28">
        <v>27</v>
      </c>
      <c r="C30" s="29">
        <f>EDATE(DATE(2024,1,1),26)</f>
        <v>46082</v>
      </c>
      <c r="D30" s="37" t="str">
        <f>IF(27&gt;Inputs!$C$74,"Expired",IF(Inputs!$C$68&gt;0,IF(27&lt;Inputs!$C$68,"Paying",IF(27&lt;Inputs!$C$68+Inputs!$C$85,"Default","Re-Lease")),"Paying"))</f>
        <v>Paying</v>
      </c>
      <c r="E30" s="30">
        <f>IF(D30="Expired",0,IF(D30="Default",0,IF(D30="Re-Lease",Inputs!$C$71*Inputs!$C$86,Inputs!$C$73)))</f>
        <v>561600</v>
      </c>
      <c r="F30" s="30">
        <f>(Inputs!$C$82*(1+Inputs!$C$83)^2)/12+IF(27=Inputs!$C$68,Inputs!$C$69/12,0)</f>
        <v>90178.645833333328</v>
      </c>
      <c r="G30" s="30">
        <f>IF(D30="Expired",0,(IF(Inputs!$C$5=1,(Inputs!C38+Inputs!C39)/12,(Inputs!F38+Inputs!F39)/12)*(1+Inputs!$C$83)^2))</f>
        <v>55157.812499999993</v>
      </c>
      <c r="H30" s="30">
        <f t="shared" si="0"/>
        <v>416263.54166666669</v>
      </c>
      <c r="I30" s="38">
        <f>'Debt Schedule'!I39</f>
        <v>536541.90098659589</v>
      </c>
      <c r="J30" s="30">
        <f t="shared" si="1"/>
        <v>-120278.35931992921</v>
      </c>
      <c r="K30" s="39">
        <f t="shared" si="2"/>
        <v>0.77582671717015805</v>
      </c>
      <c r="L30" s="30">
        <f>SUM($J$4:J30)</f>
        <v>-3120940.7016380886</v>
      </c>
    </row>
    <row r="31" spans="2:12" x14ac:dyDescent="0.3">
      <c r="B31" s="32">
        <v>28</v>
      </c>
      <c r="C31" s="33">
        <f>EDATE(DATE(2024,1,1),27)</f>
        <v>46113</v>
      </c>
      <c r="D31" s="40" t="str">
        <f>IF(28&gt;Inputs!$C$74,"Expired",IF(Inputs!$C$68&gt;0,IF(28&lt;Inputs!$C$68,"Paying",IF(28&lt;Inputs!$C$68+Inputs!$C$85,"Default","Re-Lease")),"Paying"))</f>
        <v>Paying</v>
      </c>
      <c r="E31" s="34">
        <f>IF(D31="Expired",0,IF(D31="Default",0,IF(D31="Re-Lease",Inputs!$C$71*Inputs!$C$86,Inputs!$C$73)))</f>
        <v>561600</v>
      </c>
      <c r="F31" s="34">
        <f>(Inputs!$C$82*(1+Inputs!$C$83)^2)/12+IF(28=Inputs!$C$68,Inputs!$C$69/12,0)</f>
        <v>90178.645833333328</v>
      </c>
      <c r="G31" s="34">
        <f>IF(D31="Expired",0,(IF(Inputs!$C$5=1,(Inputs!C38+Inputs!C39)/12,(Inputs!F38+Inputs!F39)/12)*(1+Inputs!$C$83)^2))</f>
        <v>55157.812499999993</v>
      </c>
      <c r="H31" s="34">
        <f t="shared" si="0"/>
        <v>416263.54166666669</v>
      </c>
      <c r="I31" s="41">
        <f>'Debt Schedule'!I40</f>
        <v>536541.90098659589</v>
      </c>
      <c r="J31" s="34">
        <f t="shared" si="1"/>
        <v>-120278.35931992921</v>
      </c>
      <c r="K31" s="42">
        <f t="shared" si="2"/>
        <v>0.77582671717015805</v>
      </c>
      <c r="L31" s="34">
        <f>SUM($J$4:J31)</f>
        <v>-3241219.0609580176</v>
      </c>
    </row>
    <row r="32" spans="2:12" x14ac:dyDescent="0.3">
      <c r="B32" s="28">
        <v>29</v>
      </c>
      <c r="C32" s="29">
        <f>EDATE(DATE(2024,1,1),28)</f>
        <v>46143</v>
      </c>
      <c r="D32" s="37" t="str">
        <f>IF(29&gt;Inputs!$C$74,"Expired",IF(Inputs!$C$68&gt;0,IF(29&lt;Inputs!$C$68,"Paying",IF(29&lt;Inputs!$C$68+Inputs!$C$85,"Default","Re-Lease")),"Paying"))</f>
        <v>Paying</v>
      </c>
      <c r="E32" s="30">
        <f>IF(D32="Expired",0,IF(D32="Default",0,IF(D32="Re-Lease",Inputs!$C$71*Inputs!$C$86,Inputs!$C$73)))</f>
        <v>561600</v>
      </c>
      <c r="F32" s="30">
        <f>(Inputs!$C$82*(1+Inputs!$C$83)^2)/12+IF(29=Inputs!$C$68,Inputs!$C$69/12,0)</f>
        <v>90178.645833333328</v>
      </c>
      <c r="G32" s="30">
        <f>IF(D32="Expired",0,(IF(Inputs!$C$5=1,(Inputs!C38+Inputs!C39)/12,(Inputs!F38+Inputs!F39)/12)*(1+Inputs!$C$83)^2))</f>
        <v>55157.812499999993</v>
      </c>
      <c r="H32" s="30">
        <f t="shared" si="0"/>
        <v>416263.54166666669</v>
      </c>
      <c r="I32" s="38">
        <f>'Debt Schedule'!I41</f>
        <v>536541.90098659589</v>
      </c>
      <c r="J32" s="30">
        <f t="shared" si="1"/>
        <v>-120278.35931992921</v>
      </c>
      <c r="K32" s="39">
        <f t="shared" si="2"/>
        <v>0.77582671717015805</v>
      </c>
      <c r="L32" s="30">
        <f>SUM($J$4:J32)</f>
        <v>-3361497.4202779466</v>
      </c>
    </row>
    <row r="33" spans="2:12" x14ac:dyDescent="0.3">
      <c r="B33" s="32">
        <v>30</v>
      </c>
      <c r="C33" s="33">
        <f>EDATE(DATE(2024,1,1),29)</f>
        <v>46174</v>
      </c>
      <c r="D33" s="40" t="str">
        <f>IF(30&gt;Inputs!$C$74,"Expired",IF(Inputs!$C$68&gt;0,IF(30&lt;Inputs!$C$68,"Paying",IF(30&lt;Inputs!$C$68+Inputs!$C$85,"Default","Re-Lease")),"Paying"))</f>
        <v>Paying</v>
      </c>
      <c r="E33" s="34">
        <f>IF(D33="Expired",0,IF(D33="Default",0,IF(D33="Re-Lease",Inputs!$C$71*Inputs!$C$86,Inputs!$C$73)))</f>
        <v>561600</v>
      </c>
      <c r="F33" s="34">
        <f>(Inputs!$C$82*(1+Inputs!$C$83)^2)/12+IF(30=Inputs!$C$68,Inputs!$C$69/12,0)</f>
        <v>90178.645833333328</v>
      </c>
      <c r="G33" s="34">
        <f>IF(D33="Expired",0,(IF(Inputs!$C$5=1,(Inputs!C38+Inputs!C39)/12,(Inputs!F38+Inputs!F39)/12)*(1+Inputs!$C$83)^2))</f>
        <v>55157.812499999993</v>
      </c>
      <c r="H33" s="34">
        <f t="shared" si="0"/>
        <v>416263.54166666669</v>
      </c>
      <c r="I33" s="41">
        <f>'Debt Schedule'!I42</f>
        <v>536541.90098659589</v>
      </c>
      <c r="J33" s="34">
        <f t="shared" si="1"/>
        <v>-120278.35931992921</v>
      </c>
      <c r="K33" s="42">
        <f t="shared" si="2"/>
        <v>0.77582671717015805</v>
      </c>
      <c r="L33" s="34">
        <f>SUM($J$4:J33)</f>
        <v>-3481775.7795978757</v>
      </c>
    </row>
    <row r="34" spans="2:12" x14ac:dyDescent="0.3">
      <c r="B34" s="28">
        <v>31</v>
      </c>
      <c r="C34" s="29">
        <f>EDATE(DATE(2024,1,1),30)</f>
        <v>46204</v>
      </c>
      <c r="D34" s="37" t="str">
        <f>IF(31&gt;Inputs!$C$74,"Expired",IF(Inputs!$C$68&gt;0,IF(31&lt;Inputs!$C$68,"Paying",IF(31&lt;Inputs!$C$68+Inputs!$C$85,"Default","Re-Lease")),"Paying"))</f>
        <v>Paying</v>
      </c>
      <c r="E34" s="30">
        <f>IF(D34="Expired",0,IF(D34="Default",0,IF(D34="Re-Lease",Inputs!$C$71*Inputs!$C$86,Inputs!$C$73)))</f>
        <v>561600</v>
      </c>
      <c r="F34" s="30">
        <f>(Inputs!$C$82*(1+Inputs!$C$83)^2)/12+IF(31=Inputs!$C$68,Inputs!$C$69/12,0)</f>
        <v>90178.645833333328</v>
      </c>
      <c r="G34" s="30">
        <f>IF(D34="Expired",0,(IF(Inputs!$C$5=1,(Inputs!C38+Inputs!C39)/12,(Inputs!F38+Inputs!F39)/12)*(1+Inputs!$C$83)^2))</f>
        <v>55157.812499999993</v>
      </c>
      <c r="H34" s="30">
        <f t="shared" si="0"/>
        <v>416263.54166666669</v>
      </c>
      <c r="I34" s="38">
        <f>'Debt Schedule'!I43</f>
        <v>536541.90098659589</v>
      </c>
      <c r="J34" s="30">
        <f t="shared" si="1"/>
        <v>-120278.35931992921</v>
      </c>
      <c r="K34" s="39">
        <f t="shared" si="2"/>
        <v>0.77582671717015805</v>
      </c>
      <c r="L34" s="30">
        <f>SUM($J$4:J34)</f>
        <v>-3602054.1389178047</v>
      </c>
    </row>
    <row r="35" spans="2:12" x14ac:dyDescent="0.3">
      <c r="B35" s="32">
        <v>32</v>
      </c>
      <c r="C35" s="33">
        <f>EDATE(DATE(2024,1,1),31)</f>
        <v>46235</v>
      </c>
      <c r="D35" s="40" t="str">
        <f>IF(32&gt;Inputs!$C$74,"Expired",IF(Inputs!$C$68&gt;0,IF(32&lt;Inputs!$C$68,"Paying",IF(32&lt;Inputs!$C$68+Inputs!$C$85,"Default","Re-Lease")),"Paying"))</f>
        <v>Paying</v>
      </c>
      <c r="E35" s="34">
        <f>IF(D35="Expired",0,IF(D35="Default",0,IF(D35="Re-Lease",Inputs!$C$71*Inputs!$C$86,Inputs!$C$73)))</f>
        <v>561600</v>
      </c>
      <c r="F35" s="34">
        <f>(Inputs!$C$82*(1+Inputs!$C$83)^2)/12+IF(32=Inputs!$C$68,Inputs!$C$69/12,0)</f>
        <v>90178.645833333328</v>
      </c>
      <c r="G35" s="34">
        <f>IF(D35="Expired",0,(IF(Inputs!$C$5=1,(Inputs!C38+Inputs!C39)/12,(Inputs!F38+Inputs!F39)/12)*(1+Inputs!$C$83)^2))</f>
        <v>55157.812499999993</v>
      </c>
      <c r="H35" s="34">
        <f t="shared" si="0"/>
        <v>416263.54166666669</v>
      </c>
      <c r="I35" s="41">
        <f>'Debt Schedule'!I44</f>
        <v>536541.90098659589</v>
      </c>
      <c r="J35" s="34">
        <f t="shared" si="1"/>
        <v>-120278.35931992921</v>
      </c>
      <c r="K35" s="42">
        <f t="shared" si="2"/>
        <v>0.77582671717015805</v>
      </c>
      <c r="L35" s="34">
        <f>SUM($J$4:J35)</f>
        <v>-3722332.4982377337</v>
      </c>
    </row>
    <row r="36" spans="2:12" x14ac:dyDescent="0.3">
      <c r="B36" s="28">
        <v>33</v>
      </c>
      <c r="C36" s="29">
        <f>EDATE(DATE(2024,1,1),32)</f>
        <v>46266</v>
      </c>
      <c r="D36" s="37" t="str">
        <f>IF(33&gt;Inputs!$C$74,"Expired",IF(Inputs!$C$68&gt;0,IF(33&lt;Inputs!$C$68,"Paying",IF(33&lt;Inputs!$C$68+Inputs!$C$85,"Default","Re-Lease")),"Paying"))</f>
        <v>Paying</v>
      </c>
      <c r="E36" s="30">
        <f>IF(D36="Expired",0,IF(D36="Default",0,IF(D36="Re-Lease",Inputs!$C$71*Inputs!$C$86,Inputs!$C$73)))</f>
        <v>561600</v>
      </c>
      <c r="F36" s="30">
        <f>(Inputs!$C$82*(1+Inputs!$C$83)^2)/12+IF(33=Inputs!$C$68,Inputs!$C$69/12,0)</f>
        <v>90178.645833333328</v>
      </c>
      <c r="G36" s="30">
        <f>IF(D36="Expired",0,(IF(Inputs!$C$5=1,(Inputs!C38+Inputs!C39)/12,(Inputs!F38+Inputs!F39)/12)*(1+Inputs!$C$83)^2))</f>
        <v>55157.812499999993</v>
      </c>
      <c r="H36" s="30">
        <f t="shared" ref="H36:H67" si="3">E36-F36-G36</f>
        <v>416263.54166666669</v>
      </c>
      <c r="I36" s="38">
        <f>'Debt Schedule'!I45</f>
        <v>536541.90098659589</v>
      </c>
      <c r="J36" s="30">
        <f t="shared" ref="J36:J67" si="4">H36-I36</f>
        <v>-120278.35931992921</v>
      </c>
      <c r="K36" s="39">
        <f t="shared" ref="K36:K67" si="5">IFERROR(H36/I36,"-")</f>
        <v>0.77582671717015805</v>
      </c>
      <c r="L36" s="30">
        <f>SUM($J$4:J36)</f>
        <v>-3842610.8575576628</v>
      </c>
    </row>
    <row r="37" spans="2:12" x14ac:dyDescent="0.3">
      <c r="B37" s="32">
        <v>34</v>
      </c>
      <c r="C37" s="33">
        <f>EDATE(DATE(2024,1,1),33)</f>
        <v>46296</v>
      </c>
      <c r="D37" s="40" t="str">
        <f>IF(34&gt;Inputs!$C$74,"Expired",IF(Inputs!$C$68&gt;0,IF(34&lt;Inputs!$C$68,"Paying",IF(34&lt;Inputs!$C$68+Inputs!$C$85,"Default","Re-Lease")),"Paying"))</f>
        <v>Paying</v>
      </c>
      <c r="E37" s="34">
        <f>IF(D37="Expired",0,IF(D37="Default",0,IF(D37="Re-Lease",Inputs!$C$71*Inputs!$C$86,Inputs!$C$73)))</f>
        <v>561600</v>
      </c>
      <c r="F37" s="34">
        <f>(Inputs!$C$82*(1+Inputs!$C$83)^2)/12+IF(34=Inputs!$C$68,Inputs!$C$69/12,0)</f>
        <v>90178.645833333328</v>
      </c>
      <c r="G37" s="34">
        <f>IF(D37="Expired",0,(IF(Inputs!$C$5=1,(Inputs!C38+Inputs!C39)/12,(Inputs!F38+Inputs!F39)/12)*(1+Inputs!$C$83)^2))</f>
        <v>55157.812499999993</v>
      </c>
      <c r="H37" s="34">
        <f t="shared" si="3"/>
        <v>416263.54166666669</v>
      </c>
      <c r="I37" s="41">
        <f>'Debt Schedule'!I46</f>
        <v>536541.90098659589</v>
      </c>
      <c r="J37" s="34">
        <f t="shared" si="4"/>
        <v>-120278.35931992921</v>
      </c>
      <c r="K37" s="42">
        <f t="shared" si="5"/>
        <v>0.77582671717015805</v>
      </c>
      <c r="L37" s="34">
        <f>SUM($J$4:J37)</f>
        <v>-3962889.2168775918</v>
      </c>
    </row>
    <row r="38" spans="2:12" x14ac:dyDescent="0.3">
      <c r="B38" s="28">
        <v>35</v>
      </c>
      <c r="C38" s="29">
        <f>EDATE(DATE(2024,1,1),34)</f>
        <v>46327</v>
      </c>
      <c r="D38" s="37" t="str">
        <f>IF(35&gt;Inputs!$C$74,"Expired",IF(Inputs!$C$68&gt;0,IF(35&lt;Inputs!$C$68,"Paying",IF(35&lt;Inputs!$C$68+Inputs!$C$85,"Default","Re-Lease")),"Paying"))</f>
        <v>Paying</v>
      </c>
      <c r="E38" s="30">
        <f>IF(D38="Expired",0,IF(D38="Default",0,IF(D38="Re-Lease",Inputs!$C$71*Inputs!$C$86,Inputs!$C$73)))</f>
        <v>561600</v>
      </c>
      <c r="F38" s="30">
        <f>(Inputs!$C$82*(1+Inputs!$C$83)^2)/12+IF(35=Inputs!$C$68,Inputs!$C$69/12,0)</f>
        <v>90178.645833333328</v>
      </c>
      <c r="G38" s="30">
        <f>IF(D38="Expired",0,(IF(Inputs!$C$5=1,(Inputs!C38+Inputs!C39)/12,(Inputs!F38+Inputs!F39)/12)*(1+Inputs!$C$83)^2))</f>
        <v>55157.812499999993</v>
      </c>
      <c r="H38" s="30">
        <f t="shared" si="3"/>
        <v>416263.54166666669</v>
      </c>
      <c r="I38" s="38">
        <f>'Debt Schedule'!I47</f>
        <v>536541.90098659589</v>
      </c>
      <c r="J38" s="30">
        <f t="shared" si="4"/>
        <v>-120278.35931992921</v>
      </c>
      <c r="K38" s="39">
        <f t="shared" si="5"/>
        <v>0.77582671717015805</v>
      </c>
      <c r="L38" s="30">
        <f>SUM($J$4:J38)</f>
        <v>-4083167.5761975208</v>
      </c>
    </row>
    <row r="39" spans="2:12" x14ac:dyDescent="0.3">
      <c r="B39" s="32">
        <v>36</v>
      </c>
      <c r="C39" s="33">
        <f>EDATE(DATE(2024,1,1),35)</f>
        <v>46357</v>
      </c>
      <c r="D39" s="40" t="str">
        <f>IF(36&gt;Inputs!$C$74,"Expired",IF(Inputs!$C$68&gt;0,IF(36&lt;Inputs!$C$68,"Paying",IF(36&lt;Inputs!$C$68+Inputs!$C$85,"Default","Re-Lease")),"Paying"))</f>
        <v>Paying</v>
      </c>
      <c r="E39" s="34">
        <f>IF(D39="Expired",0,IF(D39="Default",0,IF(D39="Re-Lease",Inputs!$C$71*Inputs!$C$86,Inputs!$C$73)))</f>
        <v>561600</v>
      </c>
      <c r="F39" s="34">
        <f>(Inputs!$C$82*(1+Inputs!$C$83)^2)/12+IF(36=Inputs!$C$68,Inputs!$C$69/12,0)</f>
        <v>90178.645833333328</v>
      </c>
      <c r="G39" s="34">
        <f>IF(D39="Expired",0,(IF(Inputs!$C$5=1,(Inputs!C38+Inputs!C39)/12,(Inputs!F38+Inputs!F39)/12)*(1+Inputs!$C$83)^2))</f>
        <v>55157.812499999993</v>
      </c>
      <c r="H39" s="34">
        <f t="shared" si="3"/>
        <v>416263.54166666669</v>
      </c>
      <c r="I39" s="41">
        <f>'Debt Schedule'!I48</f>
        <v>536541.90098659589</v>
      </c>
      <c r="J39" s="34">
        <f t="shared" si="4"/>
        <v>-120278.35931992921</v>
      </c>
      <c r="K39" s="42">
        <f t="shared" si="5"/>
        <v>0.77582671717015805</v>
      </c>
      <c r="L39" s="34">
        <f>SUM($J$4:J39)</f>
        <v>-4203445.9355174499</v>
      </c>
    </row>
    <row r="40" spans="2:12" x14ac:dyDescent="0.3">
      <c r="B40" s="28">
        <v>37</v>
      </c>
      <c r="C40" s="29">
        <f>EDATE(DATE(2024,1,1),36)</f>
        <v>46388</v>
      </c>
      <c r="D40" s="37" t="str">
        <f>IF(37&gt;Inputs!$C$74,"Expired",IF(Inputs!$C$68&gt;0,IF(37&lt;Inputs!$C$68,"Paying",IF(37&lt;Inputs!$C$68+Inputs!$C$85,"Default","Re-Lease")),"Paying"))</f>
        <v>Paying</v>
      </c>
      <c r="E40" s="30">
        <f>IF(D40="Expired",0,IF(D40="Default",0,IF(D40="Re-Lease",Inputs!$C$71*Inputs!$C$86,Inputs!$C$73)))</f>
        <v>561600</v>
      </c>
      <c r="F40" s="30">
        <f>(Inputs!$C$82*(1+Inputs!$C$83)^3)/12+IF(37=Inputs!$C$68,Inputs!$C$69/12,0)</f>
        <v>92433.111979166642</v>
      </c>
      <c r="G40" s="30">
        <f>IF(D40="Expired",0,(IF(Inputs!$C$5=1,(Inputs!C38+Inputs!C39)/12,(Inputs!F38+Inputs!F39)/12)*(1+Inputs!$C$83)^3))</f>
        <v>56536.757812499993</v>
      </c>
      <c r="H40" s="30">
        <f t="shared" si="3"/>
        <v>412630.13020833337</v>
      </c>
      <c r="I40" s="38">
        <f>'Debt Schedule'!I49</f>
        <v>536541.90098659589</v>
      </c>
      <c r="J40" s="30">
        <f t="shared" si="4"/>
        <v>-123911.77077826252</v>
      </c>
      <c r="K40" s="39">
        <f t="shared" si="5"/>
        <v>0.7690548109096178</v>
      </c>
      <c r="L40" s="30">
        <f>SUM($J$4:J40)</f>
        <v>-4327357.7062957119</v>
      </c>
    </row>
    <row r="41" spans="2:12" x14ac:dyDescent="0.3">
      <c r="B41" s="32">
        <v>38</v>
      </c>
      <c r="C41" s="33">
        <f>EDATE(DATE(2024,1,1),37)</f>
        <v>46419</v>
      </c>
      <c r="D41" s="40" t="str">
        <f>IF(38&gt;Inputs!$C$74,"Expired",IF(Inputs!$C$68&gt;0,IF(38&lt;Inputs!$C$68,"Paying",IF(38&lt;Inputs!$C$68+Inputs!$C$85,"Default","Re-Lease")),"Paying"))</f>
        <v>Paying</v>
      </c>
      <c r="E41" s="34">
        <f>IF(D41="Expired",0,IF(D41="Default",0,IF(D41="Re-Lease",Inputs!$C$71*Inputs!$C$86,Inputs!$C$73)))</f>
        <v>561600</v>
      </c>
      <c r="F41" s="34">
        <f>(Inputs!$C$82*(1+Inputs!$C$83)^3)/12+IF(38=Inputs!$C$68,Inputs!$C$69/12,0)</f>
        <v>92433.111979166642</v>
      </c>
      <c r="G41" s="34">
        <f>IF(D41="Expired",0,(IF(Inputs!$C$5=1,(Inputs!C38+Inputs!C39)/12,(Inputs!F38+Inputs!F39)/12)*(1+Inputs!$C$83)^3))</f>
        <v>56536.757812499993</v>
      </c>
      <c r="H41" s="34">
        <f t="shared" si="3"/>
        <v>412630.13020833337</v>
      </c>
      <c r="I41" s="41">
        <f>'Debt Schedule'!I50</f>
        <v>536541.90098659589</v>
      </c>
      <c r="J41" s="34">
        <f t="shared" si="4"/>
        <v>-123911.77077826252</v>
      </c>
      <c r="K41" s="42">
        <f t="shared" si="5"/>
        <v>0.7690548109096178</v>
      </c>
      <c r="L41" s="34">
        <f>SUM($J$4:J41)</f>
        <v>-4451269.4770739749</v>
      </c>
    </row>
    <row r="42" spans="2:12" x14ac:dyDescent="0.3">
      <c r="B42" s="28">
        <v>39</v>
      </c>
      <c r="C42" s="29">
        <f>EDATE(DATE(2024,1,1),38)</f>
        <v>46447</v>
      </c>
      <c r="D42" s="37" t="str">
        <f>IF(39&gt;Inputs!$C$74,"Expired",IF(Inputs!$C$68&gt;0,IF(39&lt;Inputs!$C$68,"Paying",IF(39&lt;Inputs!$C$68+Inputs!$C$85,"Default","Re-Lease")),"Paying"))</f>
        <v>Paying</v>
      </c>
      <c r="E42" s="30">
        <f>IF(D42="Expired",0,IF(D42="Default",0,IF(D42="Re-Lease",Inputs!$C$71*Inputs!$C$86,Inputs!$C$73)))</f>
        <v>561600</v>
      </c>
      <c r="F42" s="30">
        <f>(Inputs!$C$82*(1+Inputs!$C$83)^3)/12+IF(39=Inputs!$C$68,Inputs!$C$69/12,0)</f>
        <v>92433.111979166642</v>
      </c>
      <c r="G42" s="30">
        <f>IF(D42="Expired",0,(IF(Inputs!$C$5=1,(Inputs!C38+Inputs!C39)/12,(Inputs!F38+Inputs!F39)/12)*(1+Inputs!$C$83)^3))</f>
        <v>56536.757812499993</v>
      </c>
      <c r="H42" s="30">
        <f t="shared" si="3"/>
        <v>412630.13020833337</v>
      </c>
      <c r="I42" s="38">
        <f>'Debt Schedule'!I51</f>
        <v>536541.90098659589</v>
      </c>
      <c r="J42" s="30">
        <f t="shared" si="4"/>
        <v>-123911.77077826252</v>
      </c>
      <c r="K42" s="39">
        <f t="shared" si="5"/>
        <v>0.7690548109096178</v>
      </c>
      <c r="L42" s="30">
        <f>SUM($J$4:J42)</f>
        <v>-4575181.2478522379</v>
      </c>
    </row>
    <row r="43" spans="2:12" x14ac:dyDescent="0.3">
      <c r="B43" s="32">
        <v>40</v>
      </c>
      <c r="C43" s="33">
        <f>EDATE(DATE(2024,1,1),39)</f>
        <v>46478</v>
      </c>
      <c r="D43" s="40" t="str">
        <f>IF(40&gt;Inputs!$C$74,"Expired",IF(Inputs!$C$68&gt;0,IF(40&lt;Inputs!$C$68,"Paying",IF(40&lt;Inputs!$C$68+Inputs!$C$85,"Default","Re-Lease")),"Paying"))</f>
        <v>Paying</v>
      </c>
      <c r="E43" s="34">
        <f>IF(D43="Expired",0,IF(D43="Default",0,IF(D43="Re-Lease",Inputs!$C$71*Inputs!$C$86,Inputs!$C$73)))</f>
        <v>561600</v>
      </c>
      <c r="F43" s="34">
        <f>(Inputs!$C$82*(1+Inputs!$C$83)^3)/12+IF(40=Inputs!$C$68,Inputs!$C$69/12,0)</f>
        <v>92433.111979166642</v>
      </c>
      <c r="G43" s="34">
        <f>IF(D43="Expired",0,(IF(Inputs!$C$5=1,(Inputs!C38+Inputs!C39)/12,(Inputs!F38+Inputs!F39)/12)*(1+Inputs!$C$83)^3))</f>
        <v>56536.757812499993</v>
      </c>
      <c r="H43" s="34">
        <f t="shared" si="3"/>
        <v>412630.13020833337</v>
      </c>
      <c r="I43" s="41">
        <f>'Debt Schedule'!I52</f>
        <v>536541.90098659589</v>
      </c>
      <c r="J43" s="34">
        <f t="shared" si="4"/>
        <v>-123911.77077826252</v>
      </c>
      <c r="K43" s="42">
        <f t="shared" si="5"/>
        <v>0.7690548109096178</v>
      </c>
      <c r="L43" s="34">
        <f>SUM($J$4:J43)</f>
        <v>-4699093.0186305009</v>
      </c>
    </row>
    <row r="44" spans="2:12" x14ac:dyDescent="0.3">
      <c r="B44" s="28">
        <v>41</v>
      </c>
      <c r="C44" s="29">
        <f>EDATE(DATE(2024,1,1),40)</f>
        <v>46508</v>
      </c>
      <c r="D44" s="37" t="str">
        <f>IF(41&gt;Inputs!$C$74,"Expired",IF(Inputs!$C$68&gt;0,IF(41&lt;Inputs!$C$68,"Paying",IF(41&lt;Inputs!$C$68+Inputs!$C$85,"Default","Re-Lease")),"Paying"))</f>
        <v>Paying</v>
      </c>
      <c r="E44" s="30">
        <f>IF(D44="Expired",0,IF(D44="Default",0,IF(D44="Re-Lease",Inputs!$C$71*Inputs!$C$86,Inputs!$C$73)))</f>
        <v>561600</v>
      </c>
      <c r="F44" s="30">
        <f>(Inputs!$C$82*(1+Inputs!$C$83)^3)/12+IF(41=Inputs!$C$68,Inputs!$C$69/12,0)</f>
        <v>92433.111979166642</v>
      </c>
      <c r="G44" s="30">
        <f>IF(D44="Expired",0,(IF(Inputs!$C$5=1,(Inputs!C38+Inputs!C39)/12,(Inputs!F38+Inputs!F39)/12)*(1+Inputs!$C$83)^3))</f>
        <v>56536.757812499993</v>
      </c>
      <c r="H44" s="30">
        <f t="shared" si="3"/>
        <v>412630.13020833337</v>
      </c>
      <c r="I44" s="38">
        <f>'Debt Schedule'!I53</f>
        <v>536541.90098659589</v>
      </c>
      <c r="J44" s="30">
        <f t="shared" si="4"/>
        <v>-123911.77077826252</v>
      </c>
      <c r="K44" s="39">
        <f t="shared" si="5"/>
        <v>0.7690548109096178</v>
      </c>
      <c r="L44" s="30">
        <f>SUM($J$4:J44)</f>
        <v>-4823004.7894087639</v>
      </c>
    </row>
    <row r="45" spans="2:12" x14ac:dyDescent="0.3">
      <c r="B45" s="32">
        <v>42</v>
      </c>
      <c r="C45" s="33">
        <f>EDATE(DATE(2024,1,1),41)</f>
        <v>46539</v>
      </c>
      <c r="D45" s="40" t="str">
        <f>IF(42&gt;Inputs!$C$74,"Expired",IF(Inputs!$C$68&gt;0,IF(42&lt;Inputs!$C$68,"Paying",IF(42&lt;Inputs!$C$68+Inputs!$C$85,"Default","Re-Lease")),"Paying"))</f>
        <v>Paying</v>
      </c>
      <c r="E45" s="34">
        <f>IF(D45="Expired",0,IF(D45="Default",0,IF(D45="Re-Lease",Inputs!$C$71*Inputs!$C$86,Inputs!$C$73)))</f>
        <v>561600</v>
      </c>
      <c r="F45" s="34">
        <f>(Inputs!$C$82*(1+Inputs!$C$83)^3)/12+IF(42=Inputs!$C$68,Inputs!$C$69/12,0)</f>
        <v>92433.111979166642</v>
      </c>
      <c r="G45" s="34">
        <f>IF(D45="Expired",0,(IF(Inputs!$C$5=1,(Inputs!C38+Inputs!C39)/12,(Inputs!F38+Inputs!F39)/12)*(1+Inputs!$C$83)^3))</f>
        <v>56536.757812499993</v>
      </c>
      <c r="H45" s="34">
        <f t="shared" si="3"/>
        <v>412630.13020833337</v>
      </c>
      <c r="I45" s="41">
        <f>'Debt Schedule'!I54</f>
        <v>536541.90098659589</v>
      </c>
      <c r="J45" s="34">
        <f t="shared" si="4"/>
        <v>-123911.77077826252</v>
      </c>
      <c r="K45" s="42">
        <f t="shared" si="5"/>
        <v>0.7690548109096178</v>
      </c>
      <c r="L45" s="34">
        <f>SUM($J$4:J45)</f>
        <v>-4946916.5601870269</v>
      </c>
    </row>
    <row r="46" spans="2:12" x14ac:dyDescent="0.3">
      <c r="B46" s="28">
        <v>43</v>
      </c>
      <c r="C46" s="29">
        <f>EDATE(DATE(2024,1,1),42)</f>
        <v>46569</v>
      </c>
      <c r="D46" s="37" t="str">
        <f>IF(43&gt;Inputs!$C$74,"Expired",IF(Inputs!$C$68&gt;0,IF(43&lt;Inputs!$C$68,"Paying",IF(43&lt;Inputs!$C$68+Inputs!$C$85,"Default","Re-Lease")),"Paying"))</f>
        <v>Paying</v>
      </c>
      <c r="E46" s="30">
        <f>IF(D46="Expired",0,IF(D46="Default",0,IF(D46="Re-Lease",Inputs!$C$71*Inputs!$C$86,Inputs!$C$73)))</f>
        <v>561600</v>
      </c>
      <c r="F46" s="30">
        <f>(Inputs!$C$82*(1+Inputs!$C$83)^3)/12+IF(43=Inputs!$C$68,Inputs!$C$69/12,0)</f>
        <v>92433.111979166642</v>
      </c>
      <c r="G46" s="30">
        <f>IF(D46="Expired",0,(IF(Inputs!$C$5=1,(Inputs!C38+Inputs!C39)/12,(Inputs!F38+Inputs!F39)/12)*(1+Inputs!$C$83)^3))</f>
        <v>56536.757812499993</v>
      </c>
      <c r="H46" s="30">
        <f t="shared" si="3"/>
        <v>412630.13020833337</v>
      </c>
      <c r="I46" s="38">
        <f>'Debt Schedule'!I55</f>
        <v>536541.90098659589</v>
      </c>
      <c r="J46" s="30">
        <f t="shared" si="4"/>
        <v>-123911.77077826252</v>
      </c>
      <c r="K46" s="39">
        <f t="shared" si="5"/>
        <v>0.7690548109096178</v>
      </c>
      <c r="L46" s="30">
        <f>SUM($J$4:J46)</f>
        <v>-5070828.3309652898</v>
      </c>
    </row>
    <row r="47" spans="2:12" x14ac:dyDescent="0.3">
      <c r="B47" s="32">
        <v>44</v>
      </c>
      <c r="C47" s="33">
        <f>EDATE(DATE(2024,1,1),43)</f>
        <v>46600</v>
      </c>
      <c r="D47" s="40" t="str">
        <f>IF(44&gt;Inputs!$C$74,"Expired",IF(Inputs!$C$68&gt;0,IF(44&lt;Inputs!$C$68,"Paying",IF(44&lt;Inputs!$C$68+Inputs!$C$85,"Default","Re-Lease")),"Paying"))</f>
        <v>Paying</v>
      </c>
      <c r="E47" s="34">
        <f>IF(D47="Expired",0,IF(D47="Default",0,IF(D47="Re-Lease",Inputs!$C$71*Inputs!$C$86,Inputs!$C$73)))</f>
        <v>561600</v>
      </c>
      <c r="F47" s="34">
        <f>(Inputs!$C$82*(1+Inputs!$C$83)^3)/12+IF(44=Inputs!$C$68,Inputs!$C$69/12,0)</f>
        <v>92433.111979166642</v>
      </c>
      <c r="G47" s="34">
        <f>IF(D47="Expired",0,(IF(Inputs!$C$5=1,(Inputs!C38+Inputs!C39)/12,(Inputs!F38+Inputs!F39)/12)*(1+Inputs!$C$83)^3))</f>
        <v>56536.757812499993</v>
      </c>
      <c r="H47" s="34">
        <f t="shared" si="3"/>
        <v>412630.13020833337</v>
      </c>
      <c r="I47" s="41">
        <f>'Debt Schedule'!I56</f>
        <v>536541.90098659589</v>
      </c>
      <c r="J47" s="34">
        <f t="shared" si="4"/>
        <v>-123911.77077826252</v>
      </c>
      <c r="K47" s="42">
        <f t="shared" si="5"/>
        <v>0.7690548109096178</v>
      </c>
      <c r="L47" s="34">
        <f>SUM($J$4:J47)</f>
        <v>-5194740.1017435528</v>
      </c>
    </row>
    <row r="48" spans="2:12" x14ac:dyDescent="0.3">
      <c r="B48" s="28">
        <v>45</v>
      </c>
      <c r="C48" s="29">
        <f>EDATE(DATE(2024,1,1),44)</f>
        <v>46631</v>
      </c>
      <c r="D48" s="37" t="str">
        <f>IF(45&gt;Inputs!$C$74,"Expired",IF(Inputs!$C$68&gt;0,IF(45&lt;Inputs!$C$68,"Paying",IF(45&lt;Inputs!$C$68+Inputs!$C$85,"Default","Re-Lease")),"Paying"))</f>
        <v>Paying</v>
      </c>
      <c r="E48" s="30">
        <f>IF(D48="Expired",0,IF(D48="Default",0,IF(D48="Re-Lease",Inputs!$C$71*Inputs!$C$86,Inputs!$C$73)))</f>
        <v>561600</v>
      </c>
      <c r="F48" s="30">
        <f>(Inputs!$C$82*(1+Inputs!$C$83)^3)/12+IF(45=Inputs!$C$68,Inputs!$C$69/12,0)</f>
        <v>92433.111979166642</v>
      </c>
      <c r="G48" s="30">
        <f>IF(D48="Expired",0,(IF(Inputs!$C$5=1,(Inputs!C38+Inputs!C39)/12,(Inputs!F38+Inputs!F39)/12)*(1+Inputs!$C$83)^3))</f>
        <v>56536.757812499993</v>
      </c>
      <c r="H48" s="30">
        <f t="shared" si="3"/>
        <v>412630.13020833337</v>
      </c>
      <c r="I48" s="38">
        <f>'Debt Schedule'!I57</f>
        <v>536541.90098659589</v>
      </c>
      <c r="J48" s="30">
        <f t="shared" si="4"/>
        <v>-123911.77077826252</v>
      </c>
      <c r="K48" s="39">
        <f t="shared" si="5"/>
        <v>0.7690548109096178</v>
      </c>
      <c r="L48" s="30">
        <f>SUM($J$4:J48)</f>
        <v>-5318651.8725218158</v>
      </c>
    </row>
    <row r="49" spans="2:12" x14ac:dyDescent="0.3">
      <c r="B49" s="32">
        <v>46</v>
      </c>
      <c r="C49" s="33">
        <f>EDATE(DATE(2024,1,1),45)</f>
        <v>46661</v>
      </c>
      <c r="D49" s="40" t="str">
        <f>IF(46&gt;Inputs!$C$74,"Expired",IF(Inputs!$C$68&gt;0,IF(46&lt;Inputs!$C$68,"Paying",IF(46&lt;Inputs!$C$68+Inputs!$C$85,"Default","Re-Lease")),"Paying"))</f>
        <v>Paying</v>
      </c>
      <c r="E49" s="34">
        <f>IF(D49="Expired",0,IF(D49="Default",0,IF(D49="Re-Lease",Inputs!$C$71*Inputs!$C$86,Inputs!$C$73)))</f>
        <v>561600</v>
      </c>
      <c r="F49" s="34">
        <f>(Inputs!$C$82*(1+Inputs!$C$83)^3)/12+IF(46=Inputs!$C$68,Inputs!$C$69/12,0)</f>
        <v>92433.111979166642</v>
      </c>
      <c r="G49" s="34">
        <f>IF(D49="Expired",0,(IF(Inputs!$C$5=1,(Inputs!C38+Inputs!C39)/12,(Inputs!F38+Inputs!F39)/12)*(1+Inputs!$C$83)^3))</f>
        <v>56536.757812499993</v>
      </c>
      <c r="H49" s="34">
        <f t="shared" si="3"/>
        <v>412630.13020833337</v>
      </c>
      <c r="I49" s="41">
        <f>'Debt Schedule'!I58</f>
        <v>536541.90098659589</v>
      </c>
      <c r="J49" s="34">
        <f t="shared" si="4"/>
        <v>-123911.77077826252</v>
      </c>
      <c r="K49" s="42">
        <f t="shared" si="5"/>
        <v>0.7690548109096178</v>
      </c>
      <c r="L49" s="34">
        <f>SUM($J$4:J49)</f>
        <v>-5442563.6433000788</v>
      </c>
    </row>
    <row r="50" spans="2:12" x14ac:dyDescent="0.3">
      <c r="B50" s="28">
        <v>47</v>
      </c>
      <c r="C50" s="29">
        <f>EDATE(DATE(2024,1,1),46)</f>
        <v>46692</v>
      </c>
      <c r="D50" s="37" t="str">
        <f>IF(47&gt;Inputs!$C$74,"Expired",IF(Inputs!$C$68&gt;0,IF(47&lt;Inputs!$C$68,"Paying",IF(47&lt;Inputs!$C$68+Inputs!$C$85,"Default","Re-Lease")),"Paying"))</f>
        <v>Paying</v>
      </c>
      <c r="E50" s="30">
        <f>IF(D50="Expired",0,IF(D50="Default",0,IF(D50="Re-Lease",Inputs!$C$71*Inputs!$C$86,Inputs!$C$73)))</f>
        <v>561600</v>
      </c>
      <c r="F50" s="30">
        <f>(Inputs!$C$82*(1+Inputs!$C$83)^3)/12+IF(47=Inputs!$C$68,Inputs!$C$69/12,0)</f>
        <v>92433.111979166642</v>
      </c>
      <c r="G50" s="30">
        <f>IF(D50="Expired",0,(IF(Inputs!$C$5=1,(Inputs!C38+Inputs!C39)/12,(Inputs!F38+Inputs!F39)/12)*(1+Inputs!$C$83)^3))</f>
        <v>56536.757812499993</v>
      </c>
      <c r="H50" s="30">
        <f t="shared" si="3"/>
        <v>412630.13020833337</v>
      </c>
      <c r="I50" s="38">
        <f>'Debt Schedule'!I59</f>
        <v>536541.90098659589</v>
      </c>
      <c r="J50" s="30">
        <f t="shared" si="4"/>
        <v>-123911.77077826252</v>
      </c>
      <c r="K50" s="39">
        <f t="shared" si="5"/>
        <v>0.7690548109096178</v>
      </c>
      <c r="L50" s="30">
        <f>SUM($J$4:J50)</f>
        <v>-5566475.4140783418</v>
      </c>
    </row>
    <row r="51" spans="2:12" x14ac:dyDescent="0.3">
      <c r="B51" s="32">
        <v>48</v>
      </c>
      <c r="C51" s="33">
        <f>EDATE(DATE(2024,1,1),47)</f>
        <v>46722</v>
      </c>
      <c r="D51" s="40" t="str">
        <f>IF(48&gt;Inputs!$C$74,"Expired",IF(Inputs!$C$68&gt;0,IF(48&lt;Inputs!$C$68,"Paying",IF(48&lt;Inputs!$C$68+Inputs!$C$85,"Default","Re-Lease")),"Paying"))</f>
        <v>Paying</v>
      </c>
      <c r="E51" s="34">
        <f>IF(D51="Expired",0,IF(D51="Default",0,IF(D51="Re-Lease",Inputs!$C$71*Inputs!$C$86,Inputs!$C$73)))</f>
        <v>561600</v>
      </c>
      <c r="F51" s="34">
        <f>(Inputs!$C$82*(1+Inputs!$C$83)^3)/12+IF(48=Inputs!$C$68,Inputs!$C$69/12,0)</f>
        <v>92433.111979166642</v>
      </c>
      <c r="G51" s="34">
        <f>IF(D51="Expired",0,(IF(Inputs!$C$5=1,(Inputs!C38+Inputs!C39)/12,(Inputs!F38+Inputs!F39)/12)*(1+Inputs!$C$83)^3))</f>
        <v>56536.757812499993</v>
      </c>
      <c r="H51" s="34">
        <f t="shared" si="3"/>
        <v>412630.13020833337</v>
      </c>
      <c r="I51" s="41">
        <f>'Debt Schedule'!I60</f>
        <v>536541.90098659589</v>
      </c>
      <c r="J51" s="34">
        <f t="shared" si="4"/>
        <v>-123911.77077826252</v>
      </c>
      <c r="K51" s="42">
        <f t="shared" si="5"/>
        <v>0.7690548109096178</v>
      </c>
      <c r="L51" s="34">
        <f>SUM($J$4:J51)</f>
        <v>-5690387.1848566048</v>
      </c>
    </row>
    <row r="52" spans="2:12" x14ac:dyDescent="0.3">
      <c r="B52" s="28">
        <v>49</v>
      </c>
      <c r="C52" s="29">
        <f>EDATE(DATE(2024,1,1),48)</f>
        <v>46753</v>
      </c>
      <c r="D52" s="37" t="str">
        <f>IF(49&gt;Inputs!$C$74,"Expired",IF(Inputs!$C$68&gt;0,IF(49&lt;Inputs!$C$68,"Paying",IF(49&lt;Inputs!$C$68+Inputs!$C$85,"Default","Re-Lease")),"Paying"))</f>
        <v>Paying</v>
      </c>
      <c r="E52" s="30">
        <f>IF(D52="Expired",0,IF(D52="Default",0,IF(D52="Re-Lease",Inputs!$C$71*Inputs!$C$86,Inputs!$C$73)))</f>
        <v>561600</v>
      </c>
      <c r="F52" s="30">
        <f>(Inputs!$C$82*(1+Inputs!$C$83)^4)/12+IF(49=Inputs!$C$68,Inputs!$C$69/12,0)</f>
        <v>94743.939778645814</v>
      </c>
      <c r="G52" s="30">
        <f>IF(D52="Expired",0,(IF(Inputs!$C$5=1,(Inputs!C38+Inputs!C39)/12,(Inputs!F38+Inputs!F39)/12)*(1+Inputs!$C$83)^4))</f>
        <v>57950.176757812485</v>
      </c>
      <c r="H52" s="30">
        <f t="shared" si="3"/>
        <v>408905.88346354169</v>
      </c>
      <c r="I52" s="38">
        <f>'Debt Schedule'!I61</f>
        <v>536541.90098659589</v>
      </c>
      <c r="J52" s="30">
        <f t="shared" si="4"/>
        <v>-127636.01752305421</v>
      </c>
      <c r="K52" s="39">
        <f t="shared" si="5"/>
        <v>0.76211360699256392</v>
      </c>
      <c r="L52" s="30">
        <f>SUM($J$4:J52)</f>
        <v>-5818023.2023796588</v>
      </c>
    </row>
    <row r="53" spans="2:12" x14ac:dyDescent="0.3">
      <c r="B53" s="32">
        <v>50</v>
      </c>
      <c r="C53" s="33">
        <f>EDATE(DATE(2024,1,1),49)</f>
        <v>46784</v>
      </c>
      <c r="D53" s="40" t="str">
        <f>IF(50&gt;Inputs!$C$74,"Expired",IF(Inputs!$C$68&gt;0,IF(50&lt;Inputs!$C$68,"Paying",IF(50&lt;Inputs!$C$68+Inputs!$C$85,"Default","Re-Lease")),"Paying"))</f>
        <v>Paying</v>
      </c>
      <c r="E53" s="34">
        <f>IF(D53="Expired",0,IF(D53="Default",0,IF(D53="Re-Lease",Inputs!$C$71*Inputs!$C$86,Inputs!$C$73)))</f>
        <v>561600</v>
      </c>
      <c r="F53" s="34">
        <f>(Inputs!$C$82*(1+Inputs!$C$83)^4)/12+IF(50=Inputs!$C$68,Inputs!$C$69/12,0)</f>
        <v>94743.939778645814</v>
      </c>
      <c r="G53" s="34">
        <f>IF(D53="Expired",0,(IF(Inputs!$C$5=1,(Inputs!C38+Inputs!C39)/12,(Inputs!F38+Inputs!F39)/12)*(1+Inputs!$C$83)^4))</f>
        <v>57950.176757812485</v>
      </c>
      <c r="H53" s="34">
        <f t="shared" si="3"/>
        <v>408905.88346354169</v>
      </c>
      <c r="I53" s="41">
        <f>'Debt Schedule'!I62</f>
        <v>536541.90098659589</v>
      </c>
      <c r="J53" s="34">
        <f t="shared" si="4"/>
        <v>-127636.01752305421</v>
      </c>
      <c r="K53" s="42">
        <f t="shared" si="5"/>
        <v>0.76211360699256392</v>
      </c>
      <c r="L53" s="34">
        <f>SUM($J$4:J53)</f>
        <v>-5945659.2199027129</v>
      </c>
    </row>
    <row r="54" spans="2:12" x14ac:dyDescent="0.3">
      <c r="B54" s="28">
        <v>51</v>
      </c>
      <c r="C54" s="29">
        <f>EDATE(DATE(2024,1,1),50)</f>
        <v>46813</v>
      </c>
      <c r="D54" s="37" t="str">
        <f>IF(51&gt;Inputs!$C$74,"Expired",IF(Inputs!$C$68&gt;0,IF(51&lt;Inputs!$C$68,"Paying",IF(51&lt;Inputs!$C$68+Inputs!$C$85,"Default","Re-Lease")),"Paying"))</f>
        <v>Paying</v>
      </c>
      <c r="E54" s="30">
        <f>IF(D54="Expired",0,IF(D54="Default",0,IF(D54="Re-Lease",Inputs!$C$71*Inputs!$C$86,Inputs!$C$73)))</f>
        <v>561600</v>
      </c>
      <c r="F54" s="30">
        <f>(Inputs!$C$82*(1+Inputs!$C$83)^4)/12+IF(51=Inputs!$C$68,Inputs!$C$69/12,0)</f>
        <v>94743.939778645814</v>
      </c>
      <c r="G54" s="30">
        <f>IF(D54="Expired",0,(IF(Inputs!$C$5=1,(Inputs!C38+Inputs!C39)/12,(Inputs!F38+Inputs!F39)/12)*(1+Inputs!$C$83)^4))</f>
        <v>57950.176757812485</v>
      </c>
      <c r="H54" s="30">
        <f t="shared" si="3"/>
        <v>408905.88346354169</v>
      </c>
      <c r="I54" s="38">
        <f>'Debt Schedule'!I63</f>
        <v>536541.90098659589</v>
      </c>
      <c r="J54" s="30">
        <f t="shared" si="4"/>
        <v>-127636.01752305421</v>
      </c>
      <c r="K54" s="39">
        <f t="shared" si="5"/>
        <v>0.76211360699256392</v>
      </c>
      <c r="L54" s="30">
        <f>SUM($J$4:J54)</f>
        <v>-6073295.2374257669</v>
      </c>
    </row>
    <row r="55" spans="2:12" x14ac:dyDescent="0.3">
      <c r="B55" s="32">
        <v>52</v>
      </c>
      <c r="C55" s="33">
        <f>EDATE(DATE(2024,1,1),51)</f>
        <v>46844</v>
      </c>
      <c r="D55" s="40" t="str">
        <f>IF(52&gt;Inputs!$C$74,"Expired",IF(Inputs!$C$68&gt;0,IF(52&lt;Inputs!$C$68,"Paying",IF(52&lt;Inputs!$C$68+Inputs!$C$85,"Default","Re-Lease")),"Paying"))</f>
        <v>Paying</v>
      </c>
      <c r="E55" s="34">
        <f>IF(D55="Expired",0,IF(D55="Default",0,IF(D55="Re-Lease",Inputs!$C$71*Inputs!$C$86,Inputs!$C$73)))</f>
        <v>561600</v>
      </c>
      <c r="F55" s="34">
        <f>(Inputs!$C$82*(1+Inputs!$C$83)^4)/12+IF(52=Inputs!$C$68,Inputs!$C$69/12,0)</f>
        <v>94743.939778645814</v>
      </c>
      <c r="G55" s="34">
        <f>IF(D55="Expired",0,(IF(Inputs!$C$5=1,(Inputs!C38+Inputs!C39)/12,(Inputs!F38+Inputs!F39)/12)*(1+Inputs!$C$83)^4))</f>
        <v>57950.176757812485</v>
      </c>
      <c r="H55" s="34">
        <f t="shared" si="3"/>
        <v>408905.88346354169</v>
      </c>
      <c r="I55" s="41">
        <f>'Debt Schedule'!I64</f>
        <v>536541.90098659589</v>
      </c>
      <c r="J55" s="34">
        <f t="shared" si="4"/>
        <v>-127636.01752305421</v>
      </c>
      <c r="K55" s="42">
        <f t="shared" si="5"/>
        <v>0.76211360699256392</v>
      </c>
      <c r="L55" s="34">
        <f>SUM($J$4:J55)</f>
        <v>-6200931.2549488209</v>
      </c>
    </row>
    <row r="56" spans="2:12" x14ac:dyDescent="0.3">
      <c r="B56" s="28">
        <v>53</v>
      </c>
      <c r="C56" s="29">
        <f>EDATE(DATE(2024,1,1),52)</f>
        <v>46874</v>
      </c>
      <c r="D56" s="37" t="str">
        <f>IF(53&gt;Inputs!$C$74,"Expired",IF(Inputs!$C$68&gt;0,IF(53&lt;Inputs!$C$68,"Paying",IF(53&lt;Inputs!$C$68+Inputs!$C$85,"Default","Re-Lease")),"Paying"))</f>
        <v>Paying</v>
      </c>
      <c r="E56" s="30">
        <f>IF(D56="Expired",0,IF(D56="Default",0,IF(D56="Re-Lease",Inputs!$C$71*Inputs!$C$86,Inputs!$C$73)))</f>
        <v>561600</v>
      </c>
      <c r="F56" s="30">
        <f>(Inputs!$C$82*(1+Inputs!$C$83)^4)/12+IF(53=Inputs!$C$68,Inputs!$C$69/12,0)</f>
        <v>94743.939778645814</v>
      </c>
      <c r="G56" s="30">
        <f>IF(D56="Expired",0,(IF(Inputs!$C$5=1,(Inputs!C38+Inputs!C39)/12,(Inputs!F38+Inputs!F39)/12)*(1+Inputs!$C$83)^4))</f>
        <v>57950.176757812485</v>
      </c>
      <c r="H56" s="30">
        <f t="shared" si="3"/>
        <v>408905.88346354169</v>
      </c>
      <c r="I56" s="38">
        <f>'Debt Schedule'!I65</f>
        <v>536541.90098659589</v>
      </c>
      <c r="J56" s="30">
        <f t="shared" si="4"/>
        <v>-127636.01752305421</v>
      </c>
      <c r="K56" s="39">
        <f t="shared" si="5"/>
        <v>0.76211360699256392</v>
      </c>
      <c r="L56" s="30">
        <f>SUM($J$4:J56)</f>
        <v>-6328567.272471875</v>
      </c>
    </row>
    <row r="57" spans="2:12" x14ac:dyDescent="0.3">
      <c r="B57" s="32">
        <v>54</v>
      </c>
      <c r="C57" s="33">
        <f>EDATE(DATE(2024,1,1),53)</f>
        <v>46905</v>
      </c>
      <c r="D57" s="40" t="str">
        <f>IF(54&gt;Inputs!$C$74,"Expired",IF(Inputs!$C$68&gt;0,IF(54&lt;Inputs!$C$68,"Paying",IF(54&lt;Inputs!$C$68+Inputs!$C$85,"Default","Re-Lease")),"Paying"))</f>
        <v>Paying</v>
      </c>
      <c r="E57" s="34">
        <f>IF(D57="Expired",0,IF(D57="Default",0,IF(D57="Re-Lease",Inputs!$C$71*Inputs!$C$86,Inputs!$C$73)))</f>
        <v>561600</v>
      </c>
      <c r="F57" s="34">
        <f>(Inputs!$C$82*(1+Inputs!$C$83)^4)/12+IF(54=Inputs!$C$68,Inputs!$C$69/12,0)</f>
        <v>94743.939778645814</v>
      </c>
      <c r="G57" s="34">
        <f>IF(D57="Expired",0,(IF(Inputs!$C$5=1,(Inputs!C38+Inputs!C39)/12,(Inputs!F38+Inputs!F39)/12)*(1+Inputs!$C$83)^4))</f>
        <v>57950.176757812485</v>
      </c>
      <c r="H57" s="34">
        <f t="shared" si="3"/>
        <v>408905.88346354169</v>
      </c>
      <c r="I57" s="41">
        <f>'Debt Schedule'!I66</f>
        <v>536541.90098659589</v>
      </c>
      <c r="J57" s="34">
        <f t="shared" si="4"/>
        <v>-127636.01752305421</v>
      </c>
      <c r="K57" s="42">
        <f t="shared" si="5"/>
        <v>0.76211360699256392</v>
      </c>
      <c r="L57" s="34">
        <f>SUM($J$4:J57)</f>
        <v>-6456203.289994929</v>
      </c>
    </row>
    <row r="58" spans="2:12" x14ac:dyDescent="0.3">
      <c r="B58" s="28">
        <v>55</v>
      </c>
      <c r="C58" s="29">
        <f>EDATE(DATE(2024,1,1),54)</f>
        <v>46935</v>
      </c>
      <c r="D58" s="37" t="str">
        <f>IF(55&gt;Inputs!$C$74,"Expired",IF(Inputs!$C$68&gt;0,IF(55&lt;Inputs!$C$68,"Paying",IF(55&lt;Inputs!$C$68+Inputs!$C$85,"Default","Re-Lease")),"Paying"))</f>
        <v>Paying</v>
      </c>
      <c r="E58" s="30">
        <f>IF(D58="Expired",0,IF(D58="Default",0,IF(D58="Re-Lease",Inputs!$C$71*Inputs!$C$86,Inputs!$C$73)))</f>
        <v>561600</v>
      </c>
      <c r="F58" s="30">
        <f>(Inputs!$C$82*(1+Inputs!$C$83)^4)/12+IF(55=Inputs!$C$68,Inputs!$C$69/12,0)</f>
        <v>94743.939778645814</v>
      </c>
      <c r="G58" s="30">
        <f>IF(D58="Expired",0,(IF(Inputs!$C$5=1,(Inputs!C38+Inputs!C39)/12,(Inputs!F38+Inputs!F39)/12)*(1+Inputs!$C$83)^4))</f>
        <v>57950.176757812485</v>
      </c>
      <c r="H58" s="30">
        <f t="shared" si="3"/>
        <v>408905.88346354169</v>
      </c>
      <c r="I58" s="38">
        <f>'Debt Schedule'!I67</f>
        <v>536541.90098659589</v>
      </c>
      <c r="J58" s="30">
        <f t="shared" si="4"/>
        <v>-127636.01752305421</v>
      </c>
      <c r="K58" s="39">
        <f t="shared" si="5"/>
        <v>0.76211360699256392</v>
      </c>
      <c r="L58" s="30">
        <f>SUM($J$4:J58)</f>
        <v>-6583839.307517983</v>
      </c>
    </row>
    <row r="59" spans="2:12" x14ac:dyDescent="0.3">
      <c r="B59" s="32">
        <v>56</v>
      </c>
      <c r="C59" s="33">
        <f>EDATE(DATE(2024,1,1),55)</f>
        <v>46966</v>
      </c>
      <c r="D59" s="40" t="str">
        <f>IF(56&gt;Inputs!$C$74,"Expired",IF(Inputs!$C$68&gt;0,IF(56&lt;Inputs!$C$68,"Paying",IF(56&lt;Inputs!$C$68+Inputs!$C$85,"Default","Re-Lease")),"Paying"))</f>
        <v>Paying</v>
      </c>
      <c r="E59" s="34">
        <f>IF(D59="Expired",0,IF(D59="Default",0,IF(D59="Re-Lease",Inputs!$C$71*Inputs!$C$86,Inputs!$C$73)))</f>
        <v>561600</v>
      </c>
      <c r="F59" s="34">
        <f>(Inputs!$C$82*(1+Inputs!$C$83)^4)/12+IF(56=Inputs!$C$68,Inputs!$C$69/12,0)</f>
        <v>94743.939778645814</v>
      </c>
      <c r="G59" s="34">
        <f>IF(D59="Expired",0,(IF(Inputs!$C$5=1,(Inputs!C38+Inputs!C39)/12,(Inputs!F38+Inputs!F39)/12)*(1+Inputs!$C$83)^4))</f>
        <v>57950.176757812485</v>
      </c>
      <c r="H59" s="34">
        <f t="shared" si="3"/>
        <v>408905.88346354169</v>
      </c>
      <c r="I59" s="41">
        <f>'Debt Schedule'!I68</f>
        <v>536541.90098659589</v>
      </c>
      <c r="J59" s="34">
        <f t="shared" si="4"/>
        <v>-127636.01752305421</v>
      </c>
      <c r="K59" s="42">
        <f t="shared" si="5"/>
        <v>0.76211360699256392</v>
      </c>
      <c r="L59" s="34">
        <f>SUM($J$4:J59)</f>
        <v>-6711475.3250410371</v>
      </c>
    </row>
    <row r="60" spans="2:12" x14ac:dyDescent="0.3">
      <c r="B60" s="28">
        <v>57</v>
      </c>
      <c r="C60" s="29">
        <f>EDATE(DATE(2024,1,1),56)</f>
        <v>46997</v>
      </c>
      <c r="D60" s="37" t="str">
        <f>IF(57&gt;Inputs!$C$74,"Expired",IF(Inputs!$C$68&gt;0,IF(57&lt;Inputs!$C$68,"Paying",IF(57&lt;Inputs!$C$68+Inputs!$C$85,"Default","Re-Lease")),"Paying"))</f>
        <v>Paying</v>
      </c>
      <c r="E60" s="30">
        <f>IF(D60="Expired",0,IF(D60="Default",0,IF(D60="Re-Lease",Inputs!$C$71*Inputs!$C$86,Inputs!$C$73)))</f>
        <v>561600</v>
      </c>
      <c r="F60" s="30">
        <f>(Inputs!$C$82*(1+Inputs!$C$83)^4)/12+IF(57=Inputs!$C$68,Inputs!$C$69/12,0)</f>
        <v>94743.939778645814</v>
      </c>
      <c r="G60" s="30">
        <f>IF(D60="Expired",0,(IF(Inputs!$C$5=1,(Inputs!C38+Inputs!C39)/12,(Inputs!F38+Inputs!F39)/12)*(1+Inputs!$C$83)^4))</f>
        <v>57950.176757812485</v>
      </c>
      <c r="H60" s="30">
        <f t="shared" si="3"/>
        <v>408905.88346354169</v>
      </c>
      <c r="I60" s="38">
        <f>'Debt Schedule'!I69</f>
        <v>536541.90098659589</v>
      </c>
      <c r="J60" s="30">
        <f t="shared" si="4"/>
        <v>-127636.01752305421</v>
      </c>
      <c r="K60" s="39">
        <f t="shared" si="5"/>
        <v>0.76211360699256392</v>
      </c>
      <c r="L60" s="30">
        <f>SUM($J$4:J60)</f>
        <v>-6839111.3425640911</v>
      </c>
    </row>
    <row r="61" spans="2:12" x14ac:dyDescent="0.3">
      <c r="B61" s="32">
        <v>58</v>
      </c>
      <c r="C61" s="33">
        <f>EDATE(DATE(2024,1,1),57)</f>
        <v>47027</v>
      </c>
      <c r="D61" s="40" t="str">
        <f>IF(58&gt;Inputs!$C$74,"Expired",IF(Inputs!$C$68&gt;0,IF(58&lt;Inputs!$C$68,"Paying",IF(58&lt;Inputs!$C$68+Inputs!$C$85,"Default","Re-Lease")),"Paying"))</f>
        <v>Paying</v>
      </c>
      <c r="E61" s="34">
        <f>IF(D61="Expired",0,IF(D61="Default",0,IF(D61="Re-Lease",Inputs!$C$71*Inputs!$C$86,Inputs!$C$73)))</f>
        <v>561600</v>
      </c>
      <c r="F61" s="34">
        <f>(Inputs!$C$82*(1+Inputs!$C$83)^4)/12+IF(58=Inputs!$C$68,Inputs!$C$69/12,0)</f>
        <v>94743.939778645814</v>
      </c>
      <c r="G61" s="34">
        <f>IF(D61="Expired",0,(IF(Inputs!$C$5=1,(Inputs!C38+Inputs!C39)/12,(Inputs!F38+Inputs!F39)/12)*(1+Inputs!$C$83)^4))</f>
        <v>57950.176757812485</v>
      </c>
      <c r="H61" s="34">
        <f t="shared" si="3"/>
        <v>408905.88346354169</v>
      </c>
      <c r="I61" s="41">
        <f>'Debt Schedule'!I70</f>
        <v>536541.90098659589</v>
      </c>
      <c r="J61" s="34">
        <f t="shared" si="4"/>
        <v>-127636.01752305421</v>
      </c>
      <c r="K61" s="42">
        <f t="shared" si="5"/>
        <v>0.76211360699256392</v>
      </c>
      <c r="L61" s="34">
        <f>SUM($J$4:J61)</f>
        <v>-6966747.3600871451</v>
      </c>
    </row>
    <row r="62" spans="2:12" x14ac:dyDescent="0.3">
      <c r="B62" s="28">
        <v>59</v>
      </c>
      <c r="C62" s="29">
        <f>EDATE(DATE(2024,1,1),58)</f>
        <v>47058</v>
      </c>
      <c r="D62" s="37" t="str">
        <f>IF(59&gt;Inputs!$C$74,"Expired",IF(Inputs!$C$68&gt;0,IF(59&lt;Inputs!$C$68,"Paying",IF(59&lt;Inputs!$C$68+Inputs!$C$85,"Default","Re-Lease")),"Paying"))</f>
        <v>Paying</v>
      </c>
      <c r="E62" s="30">
        <f>IF(D62="Expired",0,IF(D62="Default",0,IF(D62="Re-Lease",Inputs!$C$71*Inputs!$C$86,Inputs!$C$73)))</f>
        <v>561600</v>
      </c>
      <c r="F62" s="30">
        <f>(Inputs!$C$82*(1+Inputs!$C$83)^4)/12+IF(59=Inputs!$C$68,Inputs!$C$69/12,0)</f>
        <v>94743.939778645814</v>
      </c>
      <c r="G62" s="30">
        <f>IF(D62="Expired",0,(IF(Inputs!$C$5=1,(Inputs!C38+Inputs!C39)/12,(Inputs!F38+Inputs!F39)/12)*(1+Inputs!$C$83)^4))</f>
        <v>57950.176757812485</v>
      </c>
      <c r="H62" s="30">
        <f t="shared" si="3"/>
        <v>408905.88346354169</v>
      </c>
      <c r="I62" s="38">
        <f>'Debt Schedule'!I71</f>
        <v>536541.90098659589</v>
      </c>
      <c r="J62" s="30">
        <f t="shared" si="4"/>
        <v>-127636.01752305421</v>
      </c>
      <c r="K62" s="39">
        <f t="shared" si="5"/>
        <v>0.76211360699256392</v>
      </c>
      <c r="L62" s="30">
        <f>SUM($J$4:J62)</f>
        <v>-7094383.3776101992</v>
      </c>
    </row>
    <row r="63" spans="2:12" x14ac:dyDescent="0.3">
      <c r="B63" s="32">
        <v>60</v>
      </c>
      <c r="C63" s="33">
        <f>EDATE(DATE(2024,1,1),59)</f>
        <v>47088</v>
      </c>
      <c r="D63" s="40" t="str">
        <f>IF(60&gt;Inputs!$C$74,"Expired",IF(Inputs!$C$68&gt;0,IF(60&lt;Inputs!$C$68,"Paying",IF(60&lt;Inputs!$C$68+Inputs!$C$85,"Default","Re-Lease")),"Paying"))</f>
        <v>Paying</v>
      </c>
      <c r="E63" s="34">
        <f>IF(D63="Expired",0,IF(D63="Default",0,IF(D63="Re-Lease",Inputs!$C$71*Inputs!$C$86,Inputs!$C$73)))</f>
        <v>561600</v>
      </c>
      <c r="F63" s="34">
        <f>(Inputs!$C$82*(1+Inputs!$C$83)^4)/12+IF(60=Inputs!$C$68,Inputs!$C$69/12,0)</f>
        <v>94743.939778645814</v>
      </c>
      <c r="G63" s="34">
        <f>IF(D63="Expired",0,(IF(Inputs!$C$5=1,(Inputs!C38+Inputs!C39)/12,(Inputs!F38+Inputs!F39)/12)*(1+Inputs!$C$83)^4))</f>
        <v>57950.176757812485</v>
      </c>
      <c r="H63" s="34">
        <f t="shared" si="3"/>
        <v>408905.88346354169</v>
      </c>
      <c r="I63" s="41">
        <f>'Debt Schedule'!I72</f>
        <v>536541.90098659589</v>
      </c>
      <c r="J63" s="34">
        <f t="shared" si="4"/>
        <v>-127636.01752305421</v>
      </c>
      <c r="K63" s="42">
        <f t="shared" si="5"/>
        <v>0.76211360699256392</v>
      </c>
      <c r="L63" s="34">
        <f>SUM($J$4:J63)</f>
        <v>-7222019.3951332532</v>
      </c>
    </row>
    <row r="64" spans="2:12" x14ac:dyDescent="0.3">
      <c r="B64" s="28">
        <v>61</v>
      </c>
      <c r="C64" s="29">
        <f>EDATE(DATE(2024,1,1),60)</f>
        <v>47119</v>
      </c>
      <c r="D64" s="37" t="str">
        <f>IF(61&gt;Inputs!$C$74,"Expired",IF(Inputs!$C$68&gt;0,IF(61&lt;Inputs!$C$68,"Paying",IF(61&lt;Inputs!$C$68+Inputs!$C$85,"Default","Re-Lease")),"Paying"))</f>
        <v>Paying</v>
      </c>
      <c r="E64" s="30">
        <f>IF(D64="Expired",0,IF(D64="Default",0,IF(D64="Re-Lease",Inputs!$C$71*Inputs!$C$86,Inputs!$C$73)))</f>
        <v>561600</v>
      </c>
      <c r="F64" s="30">
        <f>(Inputs!$C$82*(1+Inputs!$C$83)^5)/12+IF(61=Inputs!$C$68,Inputs!$C$69/12,0)</f>
        <v>97112.538273111961</v>
      </c>
      <c r="G64" s="30">
        <f>IF(D64="Expired",0,(IF(Inputs!$C$5=1,(Inputs!C38+Inputs!C39)/12,(Inputs!F38+Inputs!F39)/12)*(1+Inputs!$C$83)^5))</f>
        <v>59398.931176757796</v>
      </c>
      <c r="H64" s="30">
        <f t="shared" si="3"/>
        <v>405088.53055013024</v>
      </c>
      <c r="I64" s="38">
        <f>'Debt Schedule'!I73</f>
        <v>536541.90098659589</v>
      </c>
      <c r="J64" s="30">
        <f t="shared" si="4"/>
        <v>-131453.37043646566</v>
      </c>
      <c r="K64" s="39">
        <f t="shared" si="5"/>
        <v>0.75499887297758372</v>
      </c>
      <c r="L64" s="30">
        <f>SUM($J$4:J64)</f>
        <v>-7353472.7655697186</v>
      </c>
    </row>
    <row r="65" spans="2:12" x14ac:dyDescent="0.3">
      <c r="B65" s="32">
        <v>62</v>
      </c>
      <c r="C65" s="33">
        <f>EDATE(DATE(2024,1,1),61)</f>
        <v>47150</v>
      </c>
      <c r="D65" s="40" t="str">
        <f>IF(62&gt;Inputs!$C$74,"Expired",IF(Inputs!$C$68&gt;0,IF(62&lt;Inputs!$C$68,"Paying",IF(62&lt;Inputs!$C$68+Inputs!$C$85,"Default","Re-Lease")),"Paying"))</f>
        <v>Paying</v>
      </c>
      <c r="E65" s="34">
        <f>IF(D65="Expired",0,IF(D65="Default",0,IF(D65="Re-Lease",Inputs!$C$71*Inputs!$C$86,Inputs!$C$73)))</f>
        <v>561600</v>
      </c>
      <c r="F65" s="34">
        <f>(Inputs!$C$82*(1+Inputs!$C$83)^5)/12+IF(62=Inputs!$C$68,Inputs!$C$69/12,0)</f>
        <v>97112.538273111961</v>
      </c>
      <c r="G65" s="34">
        <f>IF(D65="Expired",0,(IF(Inputs!$C$5=1,(Inputs!C38+Inputs!C39)/12,(Inputs!F38+Inputs!F39)/12)*(1+Inputs!$C$83)^5))</f>
        <v>59398.931176757796</v>
      </c>
      <c r="H65" s="34">
        <f t="shared" si="3"/>
        <v>405088.53055013024</v>
      </c>
      <c r="I65" s="41">
        <f>'Debt Schedule'!I74</f>
        <v>536541.90098659589</v>
      </c>
      <c r="J65" s="34">
        <f t="shared" si="4"/>
        <v>-131453.37043646566</v>
      </c>
      <c r="K65" s="42">
        <f t="shared" si="5"/>
        <v>0.75499887297758372</v>
      </c>
      <c r="L65" s="34">
        <f>SUM($J$4:J65)</f>
        <v>-7484926.1360061839</v>
      </c>
    </row>
    <row r="66" spans="2:12" x14ac:dyDescent="0.3">
      <c r="B66" s="28">
        <v>63</v>
      </c>
      <c r="C66" s="29">
        <f>EDATE(DATE(2024,1,1),62)</f>
        <v>47178</v>
      </c>
      <c r="D66" s="37" t="str">
        <f>IF(63&gt;Inputs!$C$74,"Expired",IF(Inputs!$C$68&gt;0,IF(63&lt;Inputs!$C$68,"Paying",IF(63&lt;Inputs!$C$68+Inputs!$C$85,"Default","Re-Lease")),"Paying"))</f>
        <v>Paying</v>
      </c>
      <c r="E66" s="30">
        <f>IF(D66="Expired",0,IF(D66="Default",0,IF(D66="Re-Lease",Inputs!$C$71*Inputs!$C$86,Inputs!$C$73)))</f>
        <v>561600</v>
      </c>
      <c r="F66" s="30">
        <f>(Inputs!$C$82*(1+Inputs!$C$83)^5)/12+IF(63=Inputs!$C$68,Inputs!$C$69/12,0)</f>
        <v>97112.538273111961</v>
      </c>
      <c r="G66" s="30">
        <f>IF(D66="Expired",0,(IF(Inputs!$C$5=1,(Inputs!C38+Inputs!C39)/12,(Inputs!F38+Inputs!F39)/12)*(1+Inputs!$C$83)^5))</f>
        <v>59398.931176757796</v>
      </c>
      <c r="H66" s="30">
        <f t="shared" si="3"/>
        <v>405088.53055013024</v>
      </c>
      <c r="I66" s="38">
        <f>'Debt Schedule'!I75</f>
        <v>536541.90098659589</v>
      </c>
      <c r="J66" s="30">
        <f t="shared" si="4"/>
        <v>-131453.37043646566</v>
      </c>
      <c r="K66" s="39">
        <f t="shared" si="5"/>
        <v>0.75499887297758372</v>
      </c>
      <c r="L66" s="30">
        <f>SUM($J$4:J66)</f>
        <v>-7616379.5064426493</v>
      </c>
    </row>
    <row r="67" spans="2:12" x14ac:dyDescent="0.3">
      <c r="B67" s="32">
        <v>64</v>
      </c>
      <c r="C67" s="33">
        <f>EDATE(DATE(2024,1,1),63)</f>
        <v>47209</v>
      </c>
      <c r="D67" s="40" t="str">
        <f>IF(64&gt;Inputs!$C$74,"Expired",IF(Inputs!$C$68&gt;0,IF(64&lt;Inputs!$C$68,"Paying",IF(64&lt;Inputs!$C$68+Inputs!$C$85,"Default","Re-Lease")),"Paying"))</f>
        <v>Paying</v>
      </c>
      <c r="E67" s="34">
        <f>IF(D67="Expired",0,IF(D67="Default",0,IF(D67="Re-Lease",Inputs!$C$71*Inputs!$C$86,Inputs!$C$73)))</f>
        <v>561600</v>
      </c>
      <c r="F67" s="34">
        <f>(Inputs!$C$82*(1+Inputs!$C$83)^5)/12+IF(64=Inputs!$C$68,Inputs!$C$69/12,0)</f>
        <v>97112.538273111961</v>
      </c>
      <c r="G67" s="34">
        <f>IF(D67="Expired",0,(IF(Inputs!$C$5=1,(Inputs!C38+Inputs!C39)/12,(Inputs!F38+Inputs!F39)/12)*(1+Inputs!$C$83)^5))</f>
        <v>59398.931176757796</v>
      </c>
      <c r="H67" s="34">
        <f t="shared" si="3"/>
        <v>405088.53055013024</v>
      </c>
      <c r="I67" s="41">
        <f>'Debt Schedule'!I76</f>
        <v>536541.90098659589</v>
      </c>
      <c r="J67" s="34">
        <f t="shared" si="4"/>
        <v>-131453.37043646566</v>
      </c>
      <c r="K67" s="42">
        <f t="shared" si="5"/>
        <v>0.75499887297758372</v>
      </c>
      <c r="L67" s="34">
        <f>SUM($J$4:J67)</f>
        <v>-7747832.8768791147</v>
      </c>
    </row>
    <row r="68" spans="2:12" x14ac:dyDescent="0.3">
      <c r="B68" s="28">
        <v>65</v>
      </c>
      <c r="C68" s="29">
        <f>EDATE(DATE(2024,1,1),64)</f>
        <v>47239</v>
      </c>
      <c r="D68" s="37" t="str">
        <f>IF(65&gt;Inputs!$C$74,"Expired",IF(Inputs!$C$68&gt;0,IF(65&lt;Inputs!$C$68,"Paying",IF(65&lt;Inputs!$C$68+Inputs!$C$85,"Default","Re-Lease")),"Paying"))</f>
        <v>Paying</v>
      </c>
      <c r="E68" s="30">
        <f>IF(D68="Expired",0,IF(D68="Default",0,IF(D68="Re-Lease",Inputs!$C$71*Inputs!$C$86,Inputs!$C$73)))</f>
        <v>561600</v>
      </c>
      <c r="F68" s="30">
        <f>(Inputs!$C$82*(1+Inputs!$C$83)^5)/12+IF(65=Inputs!$C$68,Inputs!$C$69/12,0)</f>
        <v>97112.538273111961</v>
      </c>
      <c r="G68" s="30">
        <f>IF(D68="Expired",0,(IF(Inputs!$C$5=1,(Inputs!C38+Inputs!C39)/12,(Inputs!F38+Inputs!F39)/12)*(1+Inputs!$C$83)^5))</f>
        <v>59398.931176757796</v>
      </c>
      <c r="H68" s="30">
        <f t="shared" ref="H68:H99" si="6">E68-F68-G68</f>
        <v>405088.53055013024</v>
      </c>
      <c r="I68" s="38">
        <f>'Debt Schedule'!I77</f>
        <v>536541.90098659589</v>
      </c>
      <c r="J68" s="30">
        <f t="shared" ref="J68:J99" si="7">H68-I68</f>
        <v>-131453.37043646566</v>
      </c>
      <c r="K68" s="39">
        <f t="shared" ref="K68:K99" si="8">IFERROR(H68/I68,"-")</f>
        <v>0.75499887297758372</v>
      </c>
      <c r="L68" s="30">
        <f>SUM($J$4:J68)</f>
        <v>-7879286.24731558</v>
      </c>
    </row>
    <row r="69" spans="2:12" x14ac:dyDescent="0.3">
      <c r="B69" s="32">
        <v>66</v>
      </c>
      <c r="C69" s="33">
        <f>EDATE(DATE(2024,1,1),65)</f>
        <v>47270</v>
      </c>
      <c r="D69" s="40" t="str">
        <f>IF(66&gt;Inputs!$C$74,"Expired",IF(Inputs!$C$68&gt;0,IF(66&lt;Inputs!$C$68,"Paying",IF(66&lt;Inputs!$C$68+Inputs!$C$85,"Default","Re-Lease")),"Paying"))</f>
        <v>Paying</v>
      </c>
      <c r="E69" s="34">
        <f>IF(D69="Expired",0,IF(D69="Default",0,IF(D69="Re-Lease",Inputs!$C$71*Inputs!$C$86,Inputs!$C$73)))</f>
        <v>561600</v>
      </c>
      <c r="F69" s="34">
        <f>(Inputs!$C$82*(1+Inputs!$C$83)^5)/12+IF(66=Inputs!$C$68,Inputs!$C$69/12,0)</f>
        <v>97112.538273111961</v>
      </c>
      <c r="G69" s="34">
        <f>IF(D69="Expired",0,(IF(Inputs!$C$5=1,(Inputs!C38+Inputs!C39)/12,(Inputs!F38+Inputs!F39)/12)*(1+Inputs!$C$83)^5))</f>
        <v>59398.931176757796</v>
      </c>
      <c r="H69" s="34">
        <f t="shared" si="6"/>
        <v>405088.53055013024</v>
      </c>
      <c r="I69" s="41">
        <f>'Debt Schedule'!I78</f>
        <v>536541.90098659589</v>
      </c>
      <c r="J69" s="34">
        <f t="shared" si="7"/>
        <v>-131453.37043646566</v>
      </c>
      <c r="K69" s="42">
        <f t="shared" si="8"/>
        <v>0.75499887297758372</v>
      </c>
      <c r="L69" s="34">
        <f>SUM($J$4:J69)</f>
        <v>-8010739.6177520454</v>
      </c>
    </row>
    <row r="70" spans="2:12" x14ac:dyDescent="0.3">
      <c r="B70" s="28">
        <v>67</v>
      </c>
      <c r="C70" s="29">
        <f>EDATE(DATE(2024,1,1),66)</f>
        <v>47300</v>
      </c>
      <c r="D70" s="37" t="str">
        <f>IF(67&gt;Inputs!$C$74,"Expired",IF(Inputs!$C$68&gt;0,IF(67&lt;Inputs!$C$68,"Paying",IF(67&lt;Inputs!$C$68+Inputs!$C$85,"Default","Re-Lease")),"Paying"))</f>
        <v>Paying</v>
      </c>
      <c r="E70" s="30">
        <f>IF(D70="Expired",0,IF(D70="Default",0,IF(D70="Re-Lease",Inputs!$C$71*Inputs!$C$86,Inputs!$C$73)))</f>
        <v>561600</v>
      </c>
      <c r="F70" s="30">
        <f>(Inputs!$C$82*(1+Inputs!$C$83)^5)/12+IF(67=Inputs!$C$68,Inputs!$C$69/12,0)</f>
        <v>97112.538273111961</v>
      </c>
      <c r="G70" s="30">
        <f>IF(D70="Expired",0,(IF(Inputs!$C$5=1,(Inputs!C38+Inputs!C39)/12,(Inputs!F38+Inputs!F39)/12)*(1+Inputs!$C$83)^5))</f>
        <v>59398.931176757796</v>
      </c>
      <c r="H70" s="30">
        <f t="shared" si="6"/>
        <v>405088.53055013024</v>
      </c>
      <c r="I70" s="38">
        <f>'Debt Schedule'!I79</f>
        <v>536541.90098659589</v>
      </c>
      <c r="J70" s="30">
        <f t="shared" si="7"/>
        <v>-131453.37043646566</v>
      </c>
      <c r="K70" s="39">
        <f t="shared" si="8"/>
        <v>0.75499887297758372</v>
      </c>
      <c r="L70" s="30">
        <f>SUM($J$4:J70)</f>
        <v>-8142192.9881885108</v>
      </c>
    </row>
    <row r="71" spans="2:12" x14ac:dyDescent="0.3">
      <c r="B71" s="32">
        <v>68</v>
      </c>
      <c r="C71" s="33">
        <f>EDATE(DATE(2024,1,1),67)</f>
        <v>47331</v>
      </c>
      <c r="D71" s="40" t="str">
        <f>IF(68&gt;Inputs!$C$74,"Expired",IF(Inputs!$C$68&gt;0,IF(68&lt;Inputs!$C$68,"Paying",IF(68&lt;Inputs!$C$68+Inputs!$C$85,"Default","Re-Lease")),"Paying"))</f>
        <v>Paying</v>
      </c>
      <c r="E71" s="34">
        <f>IF(D71="Expired",0,IF(D71="Default",0,IF(D71="Re-Lease",Inputs!$C$71*Inputs!$C$86,Inputs!$C$73)))</f>
        <v>561600</v>
      </c>
      <c r="F71" s="34">
        <f>(Inputs!$C$82*(1+Inputs!$C$83)^5)/12+IF(68=Inputs!$C$68,Inputs!$C$69/12,0)</f>
        <v>97112.538273111961</v>
      </c>
      <c r="G71" s="34">
        <f>IF(D71="Expired",0,(IF(Inputs!$C$5=1,(Inputs!C38+Inputs!C39)/12,(Inputs!F38+Inputs!F39)/12)*(1+Inputs!$C$83)^5))</f>
        <v>59398.931176757796</v>
      </c>
      <c r="H71" s="34">
        <f t="shared" si="6"/>
        <v>405088.53055013024</v>
      </c>
      <c r="I71" s="41">
        <f>'Debt Schedule'!I80</f>
        <v>536541.90098659589</v>
      </c>
      <c r="J71" s="34">
        <f t="shared" si="7"/>
        <v>-131453.37043646566</v>
      </c>
      <c r="K71" s="42">
        <f t="shared" si="8"/>
        <v>0.75499887297758372</v>
      </c>
      <c r="L71" s="34">
        <f>SUM($J$4:J71)</f>
        <v>-8273646.3586249761</v>
      </c>
    </row>
    <row r="72" spans="2:12" x14ac:dyDescent="0.3">
      <c r="B72" s="28">
        <v>69</v>
      </c>
      <c r="C72" s="29">
        <f>EDATE(DATE(2024,1,1),68)</f>
        <v>47362</v>
      </c>
      <c r="D72" s="37" t="str">
        <f>IF(69&gt;Inputs!$C$74,"Expired",IF(Inputs!$C$68&gt;0,IF(69&lt;Inputs!$C$68,"Paying",IF(69&lt;Inputs!$C$68+Inputs!$C$85,"Default","Re-Lease")),"Paying"))</f>
        <v>Paying</v>
      </c>
      <c r="E72" s="30">
        <f>IF(D72="Expired",0,IF(D72="Default",0,IF(D72="Re-Lease",Inputs!$C$71*Inputs!$C$86,Inputs!$C$73)))</f>
        <v>561600</v>
      </c>
      <c r="F72" s="30">
        <f>(Inputs!$C$82*(1+Inputs!$C$83)^5)/12+IF(69=Inputs!$C$68,Inputs!$C$69/12,0)</f>
        <v>97112.538273111961</v>
      </c>
      <c r="G72" s="30">
        <f>IF(D72="Expired",0,(IF(Inputs!$C$5=1,(Inputs!C38+Inputs!C39)/12,(Inputs!F38+Inputs!F39)/12)*(1+Inputs!$C$83)^5))</f>
        <v>59398.931176757796</v>
      </c>
      <c r="H72" s="30">
        <f t="shared" si="6"/>
        <v>405088.53055013024</v>
      </c>
      <c r="I72" s="38">
        <f>'Debt Schedule'!I81</f>
        <v>536541.90098659589</v>
      </c>
      <c r="J72" s="30">
        <f t="shared" si="7"/>
        <v>-131453.37043646566</v>
      </c>
      <c r="K72" s="39">
        <f t="shared" si="8"/>
        <v>0.75499887297758372</v>
      </c>
      <c r="L72" s="30">
        <f>SUM($J$4:J72)</f>
        <v>-8405099.7290614415</v>
      </c>
    </row>
    <row r="73" spans="2:12" x14ac:dyDescent="0.3">
      <c r="B73" s="32">
        <v>70</v>
      </c>
      <c r="C73" s="33">
        <f>EDATE(DATE(2024,1,1),69)</f>
        <v>47392</v>
      </c>
      <c r="D73" s="40" t="str">
        <f>IF(70&gt;Inputs!$C$74,"Expired",IF(Inputs!$C$68&gt;0,IF(70&lt;Inputs!$C$68,"Paying",IF(70&lt;Inputs!$C$68+Inputs!$C$85,"Default","Re-Lease")),"Paying"))</f>
        <v>Paying</v>
      </c>
      <c r="E73" s="34">
        <f>IF(D73="Expired",0,IF(D73="Default",0,IF(D73="Re-Lease",Inputs!$C$71*Inputs!$C$86,Inputs!$C$73)))</f>
        <v>561600</v>
      </c>
      <c r="F73" s="34">
        <f>(Inputs!$C$82*(1+Inputs!$C$83)^5)/12+IF(70=Inputs!$C$68,Inputs!$C$69/12,0)</f>
        <v>97112.538273111961</v>
      </c>
      <c r="G73" s="34">
        <f>IF(D73="Expired",0,(IF(Inputs!$C$5=1,(Inputs!C38+Inputs!C39)/12,(Inputs!F38+Inputs!F39)/12)*(1+Inputs!$C$83)^5))</f>
        <v>59398.931176757796</v>
      </c>
      <c r="H73" s="34">
        <f t="shared" si="6"/>
        <v>405088.53055013024</v>
      </c>
      <c r="I73" s="41">
        <f>'Debt Schedule'!I82</f>
        <v>536541.90098659589</v>
      </c>
      <c r="J73" s="34">
        <f t="shared" si="7"/>
        <v>-131453.37043646566</v>
      </c>
      <c r="K73" s="42">
        <f t="shared" si="8"/>
        <v>0.75499887297758372</v>
      </c>
      <c r="L73" s="34">
        <f>SUM($J$4:J73)</f>
        <v>-8536553.0994979069</v>
      </c>
    </row>
    <row r="74" spans="2:12" x14ac:dyDescent="0.3">
      <c r="B74" s="28">
        <v>71</v>
      </c>
      <c r="C74" s="29">
        <f>EDATE(DATE(2024,1,1),70)</f>
        <v>47423</v>
      </c>
      <c r="D74" s="37" t="str">
        <f>IF(71&gt;Inputs!$C$74,"Expired",IF(Inputs!$C$68&gt;0,IF(71&lt;Inputs!$C$68,"Paying",IF(71&lt;Inputs!$C$68+Inputs!$C$85,"Default","Re-Lease")),"Paying"))</f>
        <v>Paying</v>
      </c>
      <c r="E74" s="30">
        <f>IF(D74="Expired",0,IF(D74="Default",0,IF(D74="Re-Lease",Inputs!$C$71*Inputs!$C$86,Inputs!$C$73)))</f>
        <v>561600</v>
      </c>
      <c r="F74" s="30">
        <f>(Inputs!$C$82*(1+Inputs!$C$83)^5)/12+IF(71=Inputs!$C$68,Inputs!$C$69/12,0)</f>
        <v>97112.538273111961</v>
      </c>
      <c r="G74" s="30">
        <f>IF(D74="Expired",0,(IF(Inputs!$C$5=1,(Inputs!C38+Inputs!C39)/12,(Inputs!F38+Inputs!F39)/12)*(1+Inputs!$C$83)^5))</f>
        <v>59398.931176757796</v>
      </c>
      <c r="H74" s="30">
        <f t="shared" si="6"/>
        <v>405088.53055013024</v>
      </c>
      <c r="I74" s="38">
        <f>'Debt Schedule'!I83</f>
        <v>536541.90098659589</v>
      </c>
      <c r="J74" s="30">
        <f t="shared" si="7"/>
        <v>-131453.37043646566</v>
      </c>
      <c r="K74" s="39">
        <f t="shared" si="8"/>
        <v>0.75499887297758372</v>
      </c>
      <c r="L74" s="30">
        <f>SUM($J$4:J74)</f>
        <v>-8668006.4699343722</v>
      </c>
    </row>
    <row r="75" spans="2:12" x14ac:dyDescent="0.3">
      <c r="B75" s="32">
        <v>72</v>
      </c>
      <c r="C75" s="33">
        <f>EDATE(DATE(2024,1,1),71)</f>
        <v>47453</v>
      </c>
      <c r="D75" s="40" t="str">
        <f>IF(72&gt;Inputs!$C$74,"Expired",IF(Inputs!$C$68&gt;0,IF(72&lt;Inputs!$C$68,"Paying",IF(72&lt;Inputs!$C$68+Inputs!$C$85,"Default","Re-Lease")),"Paying"))</f>
        <v>Paying</v>
      </c>
      <c r="E75" s="34">
        <f>IF(D75="Expired",0,IF(D75="Default",0,IF(D75="Re-Lease",Inputs!$C$71*Inputs!$C$86,Inputs!$C$73)))</f>
        <v>561600</v>
      </c>
      <c r="F75" s="34">
        <f>(Inputs!$C$82*(1+Inputs!$C$83)^5)/12+IF(72=Inputs!$C$68,Inputs!$C$69/12,0)</f>
        <v>97112.538273111961</v>
      </c>
      <c r="G75" s="34">
        <f>IF(D75="Expired",0,(IF(Inputs!$C$5=1,(Inputs!C38+Inputs!C39)/12,(Inputs!F38+Inputs!F39)/12)*(1+Inputs!$C$83)^5))</f>
        <v>59398.931176757796</v>
      </c>
      <c r="H75" s="34">
        <f t="shared" si="6"/>
        <v>405088.53055013024</v>
      </c>
      <c r="I75" s="41">
        <f>'Debt Schedule'!I84</f>
        <v>536541.90098659589</v>
      </c>
      <c r="J75" s="34">
        <f t="shared" si="7"/>
        <v>-131453.37043646566</v>
      </c>
      <c r="K75" s="42">
        <f t="shared" si="8"/>
        <v>0.75499887297758372</v>
      </c>
      <c r="L75" s="34">
        <f>SUM($J$4:J75)</f>
        <v>-8799459.8403708376</v>
      </c>
    </row>
    <row r="76" spans="2:12" x14ac:dyDescent="0.3">
      <c r="B76" s="28">
        <v>73</v>
      </c>
      <c r="C76" s="29">
        <f>EDATE(DATE(2024,1,1),72)</f>
        <v>47484</v>
      </c>
      <c r="D76" s="37" t="str">
        <f>IF(73&gt;Inputs!$C$74,"Expired",IF(Inputs!$C$68&gt;0,IF(73&lt;Inputs!$C$68,"Paying",IF(73&lt;Inputs!$C$68+Inputs!$C$85,"Default","Re-Lease")),"Paying"))</f>
        <v>Paying</v>
      </c>
      <c r="E76" s="30">
        <f>IF(D76="Expired",0,IF(D76="Default",0,IF(D76="Re-Lease",Inputs!$C$71*Inputs!$C$86,Inputs!$C$73)))</f>
        <v>561600</v>
      </c>
      <c r="F76" s="30">
        <f>(Inputs!$C$82*(1+Inputs!$C$83)^6)/12+IF(73=Inputs!$C$68,Inputs!$C$69/12,0)</f>
        <v>99540.35172993975</v>
      </c>
      <c r="G76" s="30">
        <f>IF(D76="Expired",0,(IF(Inputs!$C$5=1,(Inputs!C38+Inputs!C39)/12,(Inputs!F38+Inputs!F39)/12)*(1+Inputs!$C$83)^6))</f>
        <v>60883.904456176737</v>
      </c>
      <c r="H76" s="30">
        <f t="shared" si="6"/>
        <v>401175.74381388351</v>
      </c>
      <c r="I76" s="38">
        <f>'Debt Schedule'!I85</f>
        <v>536541.90098659589</v>
      </c>
      <c r="J76" s="30">
        <f t="shared" si="7"/>
        <v>-135366.15717271238</v>
      </c>
      <c r="K76" s="39">
        <f t="shared" si="8"/>
        <v>0.74770627061222916</v>
      </c>
      <c r="L76" s="30">
        <f>SUM($J$4:J76)</f>
        <v>-8934825.9975435492</v>
      </c>
    </row>
    <row r="77" spans="2:12" x14ac:dyDescent="0.3">
      <c r="B77" s="32">
        <v>74</v>
      </c>
      <c r="C77" s="33">
        <f>EDATE(DATE(2024,1,1),73)</f>
        <v>47515</v>
      </c>
      <c r="D77" s="40" t="str">
        <f>IF(74&gt;Inputs!$C$74,"Expired",IF(Inputs!$C$68&gt;0,IF(74&lt;Inputs!$C$68,"Paying",IF(74&lt;Inputs!$C$68+Inputs!$C$85,"Default","Re-Lease")),"Paying"))</f>
        <v>Paying</v>
      </c>
      <c r="E77" s="34">
        <f>IF(D77="Expired",0,IF(D77="Default",0,IF(D77="Re-Lease",Inputs!$C$71*Inputs!$C$86,Inputs!$C$73)))</f>
        <v>561600</v>
      </c>
      <c r="F77" s="34">
        <f>(Inputs!$C$82*(1+Inputs!$C$83)^6)/12+IF(74=Inputs!$C$68,Inputs!$C$69/12,0)</f>
        <v>99540.35172993975</v>
      </c>
      <c r="G77" s="34">
        <f>IF(D77="Expired",0,(IF(Inputs!$C$5=1,(Inputs!C38+Inputs!C39)/12,(Inputs!F38+Inputs!F39)/12)*(1+Inputs!$C$83)^6))</f>
        <v>60883.904456176737</v>
      </c>
      <c r="H77" s="34">
        <f t="shared" si="6"/>
        <v>401175.74381388351</v>
      </c>
      <c r="I77" s="41">
        <f>'Debt Schedule'!I86</f>
        <v>536541.90098659589</v>
      </c>
      <c r="J77" s="34">
        <f t="shared" si="7"/>
        <v>-135366.15717271238</v>
      </c>
      <c r="K77" s="42">
        <f t="shared" si="8"/>
        <v>0.74770627061222916</v>
      </c>
      <c r="L77" s="34">
        <f>SUM($J$4:J77)</f>
        <v>-9070192.1547162607</v>
      </c>
    </row>
    <row r="78" spans="2:12" x14ac:dyDescent="0.3">
      <c r="B78" s="28">
        <v>75</v>
      </c>
      <c r="C78" s="29">
        <f>EDATE(DATE(2024,1,1),74)</f>
        <v>47543</v>
      </c>
      <c r="D78" s="37" t="str">
        <f>IF(75&gt;Inputs!$C$74,"Expired",IF(Inputs!$C$68&gt;0,IF(75&lt;Inputs!$C$68,"Paying",IF(75&lt;Inputs!$C$68+Inputs!$C$85,"Default","Re-Lease")),"Paying"))</f>
        <v>Paying</v>
      </c>
      <c r="E78" s="30">
        <f>IF(D78="Expired",0,IF(D78="Default",0,IF(D78="Re-Lease",Inputs!$C$71*Inputs!$C$86,Inputs!$C$73)))</f>
        <v>561600</v>
      </c>
      <c r="F78" s="30">
        <f>(Inputs!$C$82*(1+Inputs!$C$83)^6)/12+IF(75=Inputs!$C$68,Inputs!$C$69/12,0)</f>
        <v>99540.35172993975</v>
      </c>
      <c r="G78" s="30">
        <f>IF(D78="Expired",0,(IF(Inputs!$C$5=1,(Inputs!C38+Inputs!C39)/12,(Inputs!F38+Inputs!F39)/12)*(1+Inputs!$C$83)^6))</f>
        <v>60883.904456176737</v>
      </c>
      <c r="H78" s="30">
        <f t="shared" si="6"/>
        <v>401175.74381388351</v>
      </c>
      <c r="I78" s="38">
        <f>'Debt Schedule'!I87</f>
        <v>536541.90098659589</v>
      </c>
      <c r="J78" s="30">
        <f t="shared" si="7"/>
        <v>-135366.15717271238</v>
      </c>
      <c r="K78" s="39">
        <f t="shared" si="8"/>
        <v>0.74770627061222916</v>
      </c>
      <c r="L78" s="30">
        <f>SUM($J$4:J78)</f>
        <v>-9205558.3118889723</v>
      </c>
    </row>
    <row r="79" spans="2:12" x14ac:dyDescent="0.3">
      <c r="B79" s="32">
        <v>76</v>
      </c>
      <c r="C79" s="33">
        <f>EDATE(DATE(2024,1,1),75)</f>
        <v>47574</v>
      </c>
      <c r="D79" s="40" t="str">
        <f>IF(76&gt;Inputs!$C$74,"Expired",IF(Inputs!$C$68&gt;0,IF(76&lt;Inputs!$C$68,"Paying",IF(76&lt;Inputs!$C$68+Inputs!$C$85,"Default","Re-Lease")),"Paying"))</f>
        <v>Paying</v>
      </c>
      <c r="E79" s="34">
        <f>IF(D79="Expired",0,IF(D79="Default",0,IF(D79="Re-Lease",Inputs!$C$71*Inputs!$C$86,Inputs!$C$73)))</f>
        <v>561600</v>
      </c>
      <c r="F79" s="34">
        <f>(Inputs!$C$82*(1+Inputs!$C$83)^6)/12+IF(76=Inputs!$C$68,Inputs!$C$69/12,0)</f>
        <v>99540.35172993975</v>
      </c>
      <c r="G79" s="34">
        <f>IF(D79="Expired",0,(IF(Inputs!$C$5=1,(Inputs!C38+Inputs!C39)/12,(Inputs!F38+Inputs!F39)/12)*(1+Inputs!$C$83)^6))</f>
        <v>60883.904456176737</v>
      </c>
      <c r="H79" s="34">
        <f t="shared" si="6"/>
        <v>401175.74381388351</v>
      </c>
      <c r="I79" s="41">
        <f>'Debt Schedule'!I88</f>
        <v>536541.90098659589</v>
      </c>
      <c r="J79" s="34">
        <f t="shared" si="7"/>
        <v>-135366.15717271238</v>
      </c>
      <c r="K79" s="42">
        <f t="shared" si="8"/>
        <v>0.74770627061222916</v>
      </c>
      <c r="L79" s="34">
        <f>SUM($J$4:J79)</f>
        <v>-9340924.4690616839</v>
      </c>
    </row>
    <row r="80" spans="2:12" x14ac:dyDescent="0.3">
      <c r="B80" s="28">
        <v>77</v>
      </c>
      <c r="C80" s="29">
        <f>EDATE(DATE(2024,1,1),76)</f>
        <v>47604</v>
      </c>
      <c r="D80" s="37" t="str">
        <f>IF(77&gt;Inputs!$C$74,"Expired",IF(Inputs!$C$68&gt;0,IF(77&lt;Inputs!$C$68,"Paying",IF(77&lt;Inputs!$C$68+Inputs!$C$85,"Default","Re-Lease")),"Paying"))</f>
        <v>Paying</v>
      </c>
      <c r="E80" s="30">
        <f>IF(D80="Expired",0,IF(D80="Default",0,IF(D80="Re-Lease",Inputs!$C$71*Inputs!$C$86,Inputs!$C$73)))</f>
        <v>561600</v>
      </c>
      <c r="F80" s="30">
        <f>(Inputs!$C$82*(1+Inputs!$C$83)^6)/12+IF(77=Inputs!$C$68,Inputs!$C$69/12,0)</f>
        <v>99540.35172993975</v>
      </c>
      <c r="G80" s="30">
        <f>IF(D80="Expired",0,(IF(Inputs!$C$5=1,(Inputs!C38+Inputs!C39)/12,(Inputs!F38+Inputs!F39)/12)*(1+Inputs!$C$83)^6))</f>
        <v>60883.904456176737</v>
      </c>
      <c r="H80" s="30">
        <f t="shared" si="6"/>
        <v>401175.74381388351</v>
      </c>
      <c r="I80" s="38">
        <f>'Debt Schedule'!I89</f>
        <v>536541.90098659589</v>
      </c>
      <c r="J80" s="30">
        <f t="shared" si="7"/>
        <v>-135366.15717271238</v>
      </c>
      <c r="K80" s="39">
        <f t="shared" si="8"/>
        <v>0.74770627061222916</v>
      </c>
      <c r="L80" s="30">
        <f>SUM($J$4:J80)</f>
        <v>-9476290.6262343954</v>
      </c>
    </row>
    <row r="81" spans="2:12" x14ac:dyDescent="0.3">
      <c r="B81" s="32">
        <v>78</v>
      </c>
      <c r="C81" s="33">
        <f>EDATE(DATE(2024,1,1),77)</f>
        <v>47635</v>
      </c>
      <c r="D81" s="40" t="str">
        <f>IF(78&gt;Inputs!$C$74,"Expired",IF(Inputs!$C$68&gt;0,IF(78&lt;Inputs!$C$68,"Paying",IF(78&lt;Inputs!$C$68+Inputs!$C$85,"Default","Re-Lease")),"Paying"))</f>
        <v>Paying</v>
      </c>
      <c r="E81" s="34">
        <f>IF(D81="Expired",0,IF(D81="Default",0,IF(D81="Re-Lease",Inputs!$C$71*Inputs!$C$86,Inputs!$C$73)))</f>
        <v>561600</v>
      </c>
      <c r="F81" s="34">
        <f>(Inputs!$C$82*(1+Inputs!$C$83)^6)/12+IF(78=Inputs!$C$68,Inputs!$C$69/12,0)</f>
        <v>99540.35172993975</v>
      </c>
      <c r="G81" s="34">
        <f>IF(D81="Expired",0,(IF(Inputs!$C$5=1,(Inputs!C38+Inputs!C39)/12,(Inputs!F38+Inputs!F39)/12)*(1+Inputs!$C$83)^6))</f>
        <v>60883.904456176737</v>
      </c>
      <c r="H81" s="34">
        <f t="shared" si="6"/>
        <v>401175.74381388351</v>
      </c>
      <c r="I81" s="41">
        <f>'Debt Schedule'!I90</f>
        <v>536541.90098659589</v>
      </c>
      <c r="J81" s="34">
        <f t="shared" si="7"/>
        <v>-135366.15717271238</v>
      </c>
      <c r="K81" s="42">
        <f t="shared" si="8"/>
        <v>0.74770627061222916</v>
      </c>
      <c r="L81" s="34">
        <f>SUM($J$4:J81)</f>
        <v>-9611656.783407107</v>
      </c>
    </row>
    <row r="82" spans="2:12" x14ac:dyDescent="0.3">
      <c r="B82" s="28">
        <v>79</v>
      </c>
      <c r="C82" s="29">
        <f>EDATE(DATE(2024,1,1),78)</f>
        <v>47665</v>
      </c>
      <c r="D82" s="37" t="str">
        <f>IF(79&gt;Inputs!$C$74,"Expired",IF(Inputs!$C$68&gt;0,IF(79&lt;Inputs!$C$68,"Paying",IF(79&lt;Inputs!$C$68+Inputs!$C$85,"Default","Re-Lease")),"Paying"))</f>
        <v>Paying</v>
      </c>
      <c r="E82" s="30">
        <f>IF(D82="Expired",0,IF(D82="Default",0,IF(D82="Re-Lease",Inputs!$C$71*Inputs!$C$86,Inputs!$C$73)))</f>
        <v>561600</v>
      </c>
      <c r="F82" s="30">
        <f>(Inputs!$C$82*(1+Inputs!$C$83)^6)/12+IF(79=Inputs!$C$68,Inputs!$C$69/12,0)</f>
        <v>99540.35172993975</v>
      </c>
      <c r="G82" s="30">
        <f>IF(D82="Expired",0,(IF(Inputs!$C$5=1,(Inputs!C38+Inputs!C39)/12,(Inputs!F38+Inputs!F39)/12)*(1+Inputs!$C$83)^6))</f>
        <v>60883.904456176737</v>
      </c>
      <c r="H82" s="30">
        <f t="shared" si="6"/>
        <v>401175.74381388351</v>
      </c>
      <c r="I82" s="38">
        <f>'Debt Schedule'!I91</f>
        <v>536541.90098659589</v>
      </c>
      <c r="J82" s="30">
        <f t="shared" si="7"/>
        <v>-135366.15717271238</v>
      </c>
      <c r="K82" s="39">
        <f t="shared" si="8"/>
        <v>0.74770627061222916</v>
      </c>
      <c r="L82" s="30">
        <f>SUM($J$4:J82)</f>
        <v>-9747022.9405798186</v>
      </c>
    </row>
    <row r="83" spans="2:12" x14ac:dyDescent="0.3">
      <c r="B83" s="32">
        <v>80</v>
      </c>
      <c r="C83" s="33">
        <f>EDATE(DATE(2024,1,1),79)</f>
        <v>47696</v>
      </c>
      <c r="D83" s="40" t="str">
        <f>IF(80&gt;Inputs!$C$74,"Expired",IF(Inputs!$C$68&gt;0,IF(80&lt;Inputs!$C$68,"Paying",IF(80&lt;Inputs!$C$68+Inputs!$C$85,"Default","Re-Lease")),"Paying"))</f>
        <v>Paying</v>
      </c>
      <c r="E83" s="34">
        <f>IF(D83="Expired",0,IF(D83="Default",0,IF(D83="Re-Lease",Inputs!$C$71*Inputs!$C$86,Inputs!$C$73)))</f>
        <v>561600</v>
      </c>
      <c r="F83" s="34">
        <f>(Inputs!$C$82*(1+Inputs!$C$83)^6)/12+IF(80=Inputs!$C$68,Inputs!$C$69/12,0)</f>
        <v>99540.35172993975</v>
      </c>
      <c r="G83" s="34">
        <f>IF(D83="Expired",0,(IF(Inputs!$C$5=1,(Inputs!C38+Inputs!C39)/12,(Inputs!F38+Inputs!F39)/12)*(1+Inputs!$C$83)^6))</f>
        <v>60883.904456176737</v>
      </c>
      <c r="H83" s="34">
        <f t="shared" si="6"/>
        <v>401175.74381388351</v>
      </c>
      <c r="I83" s="41">
        <f>'Debt Schedule'!I92</f>
        <v>536541.90098659589</v>
      </c>
      <c r="J83" s="34">
        <f t="shared" si="7"/>
        <v>-135366.15717271238</v>
      </c>
      <c r="K83" s="42">
        <f t="shared" si="8"/>
        <v>0.74770627061222916</v>
      </c>
      <c r="L83" s="34">
        <f>SUM($J$4:J83)</f>
        <v>-9882389.0977525301</v>
      </c>
    </row>
    <row r="84" spans="2:12" x14ac:dyDescent="0.3">
      <c r="B84" s="28">
        <v>81</v>
      </c>
      <c r="C84" s="29">
        <f>EDATE(DATE(2024,1,1),80)</f>
        <v>47727</v>
      </c>
      <c r="D84" s="37" t="str">
        <f>IF(81&gt;Inputs!$C$74,"Expired",IF(Inputs!$C$68&gt;0,IF(81&lt;Inputs!$C$68,"Paying",IF(81&lt;Inputs!$C$68+Inputs!$C$85,"Default","Re-Lease")),"Paying"))</f>
        <v>Paying</v>
      </c>
      <c r="E84" s="30">
        <f>IF(D84="Expired",0,IF(D84="Default",0,IF(D84="Re-Lease",Inputs!$C$71*Inputs!$C$86,Inputs!$C$73)))</f>
        <v>561600</v>
      </c>
      <c r="F84" s="30">
        <f>(Inputs!$C$82*(1+Inputs!$C$83)^6)/12+IF(81=Inputs!$C$68,Inputs!$C$69/12,0)</f>
        <v>99540.35172993975</v>
      </c>
      <c r="G84" s="30">
        <f>IF(D84="Expired",0,(IF(Inputs!$C$5=1,(Inputs!C38+Inputs!C39)/12,(Inputs!F38+Inputs!F39)/12)*(1+Inputs!$C$83)^6))</f>
        <v>60883.904456176737</v>
      </c>
      <c r="H84" s="30">
        <f t="shared" si="6"/>
        <v>401175.74381388351</v>
      </c>
      <c r="I84" s="38">
        <f>'Debt Schedule'!I93</f>
        <v>536541.90098659589</v>
      </c>
      <c r="J84" s="30">
        <f t="shared" si="7"/>
        <v>-135366.15717271238</v>
      </c>
      <c r="K84" s="39">
        <f t="shared" si="8"/>
        <v>0.74770627061222916</v>
      </c>
      <c r="L84" s="30">
        <f>SUM($J$4:J84)</f>
        <v>-10017755.254925242</v>
      </c>
    </row>
    <row r="85" spans="2:12" x14ac:dyDescent="0.3">
      <c r="B85" s="32">
        <v>82</v>
      </c>
      <c r="C85" s="33">
        <f>EDATE(DATE(2024,1,1),81)</f>
        <v>47757</v>
      </c>
      <c r="D85" s="40" t="str">
        <f>IF(82&gt;Inputs!$C$74,"Expired",IF(Inputs!$C$68&gt;0,IF(82&lt;Inputs!$C$68,"Paying",IF(82&lt;Inputs!$C$68+Inputs!$C$85,"Default","Re-Lease")),"Paying"))</f>
        <v>Paying</v>
      </c>
      <c r="E85" s="34">
        <f>IF(D85="Expired",0,IF(D85="Default",0,IF(D85="Re-Lease",Inputs!$C$71*Inputs!$C$86,Inputs!$C$73)))</f>
        <v>561600</v>
      </c>
      <c r="F85" s="34">
        <f>(Inputs!$C$82*(1+Inputs!$C$83)^6)/12+IF(82=Inputs!$C$68,Inputs!$C$69/12,0)</f>
        <v>99540.35172993975</v>
      </c>
      <c r="G85" s="34">
        <f>IF(D85="Expired",0,(IF(Inputs!$C$5=1,(Inputs!C38+Inputs!C39)/12,(Inputs!F38+Inputs!F39)/12)*(1+Inputs!$C$83)^6))</f>
        <v>60883.904456176737</v>
      </c>
      <c r="H85" s="34">
        <f t="shared" si="6"/>
        <v>401175.74381388351</v>
      </c>
      <c r="I85" s="41">
        <f>'Debt Schedule'!I94</f>
        <v>536541.90098659589</v>
      </c>
      <c r="J85" s="34">
        <f t="shared" si="7"/>
        <v>-135366.15717271238</v>
      </c>
      <c r="K85" s="42">
        <f t="shared" si="8"/>
        <v>0.74770627061222916</v>
      </c>
      <c r="L85" s="34">
        <f>SUM($J$4:J85)</f>
        <v>-10153121.412097953</v>
      </c>
    </row>
    <row r="86" spans="2:12" x14ac:dyDescent="0.3">
      <c r="B86" s="28">
        <v>83</v>
      </c>
      <c r="C86" s="29">
        <f>EDATE(DATE(2024,1,1),82)</f>
        <v>47788</v>
      </c>
      <c r="D86" s="37" t="str">
        <f>IF(83&gt;Inputs!$C$74,"Expired",IF(Inputs!$C$68&gt;0,IF(83&lt;Inputs!$C$68,"Paying",IF(83&lt;Inputs!$C$68+Inputs!$C$85,"Default","Re-Lease")),"Paying"))</f>
        <v>Paying</v>
      </c>
      <c r="E86" s="30">
        <f>IF(D86="Expired",0,IF(D86="Default",0,IF(D86="Re-Lease",Inputs!$C$71*Inputs!$C$86,Inputs!$C$73)))</f>
        <v>561600</v>
      </c>
      <c r="F86" s="30">
        <f>(Inputs!$C$82*(1+Inputs!$C$83)^6)/12+IF(83=Inputs!$C$68,Inputs!$C$69/12,0)</f>
        <v>99540.35172993975</v>
      </c>
      <c r="G86" s="30">
        <f>IF(D86="Expired",0,(IF(Inputs!$C$5=1,(Inputs!C38+Inputs!C39)/12,(Inputs!F38+Inputs!F39)/12)*(1+Inputs!$C$83)^6))</f>
        <v>60883.904456176737</v>
      </c>
      <c r="H86" s="30">
        <f t="shared" si="6"/>
        <v>401175.74381388351</v>
      </c>
      <c r="I86" s="38">
        <f>'Debt Schedule'!I95</f>
        <v>536541.90098659589</v>
      </c>
      <c r="J86" s="30">
        <f t="shared" si="7"/>
        <v>-135366.15717271238</v>
      </c>
      <c r="K86" s="39">
        <f t="shared" si="8"/>
        <v>0.74770627061222916</v>
      </c>
      <c r="L86" s="30">
        <f>SUM($J$4:J86)</f>
        <v>-10288487.569270665</v>
      </c>
    </row>
    <row r="87" spans="2:12" x14ac:dyDescent="0.3">
      <c r="B87" s="32">
        <v>84</v>
      </c>
      <c r="C87" s="33">
        <f>EDATE(DATE(2024,1,1),83)</f>
        <v>47818</v>
      </c>
      <c r="D87" s="40" t="str">
        <f>IF(84&gt;Inputs!$C$74,"Expired",IF(Inputs!$C$68&gt;0,IF(84&lt;Inputs!$C$68,"Paying",IF(84&lt;Inputs!$C$68+Inputs!$C$85,"Default","Re-Lease")),"Paying"))</f>
        <v>Paying</v>
      </c>
      <c r="E87" s="34">
        <f>IF(D87="Expired",0,IF(D87="Default",0,IF(D87="Re-Lease",Inputs!$C$71*Inputs!$C$86,Inputs!$C$73)))</f>
        <v>561600</v>
      </c>
      <c r="F87" s="34">
        <f>(Inputs!$C$82*(1+Inputs!$C$83)^6)/12+IF(84=Inputs!$C$68,Inputs!$C$69/12,0)</f>
        <v>99540.35172993975</v>
      </c>
      <c r="G87" s="34">
        <f>IF(D87="Expired",0,(IF(Inputs!$C$5=1,(Inputs!C38+Inputs!C39)/12,(Inputs!F38+Inputs!F39)/12)*(1+Inputs!$C$83)^6))</f>
        <v>60883.904456176737</v>
      </c>
      <c r="H87" s="34">
        <f t="shared" si="6"/>
        <v>401175.74381388351</v>
      </c>
      <c r="I87" s="41">
        <f>'Debt Schedule'!I96</f>
        <v>536541.90098659589</v>
      </c>
      <c r="J87" s="34">
        <f t="shared" si="7"/>
        <v>-135366.15717271238</v>
      </c>
      <c r="K87" s="42">
        <f t="shared" si="8"/>
        <v>0.74770627061222916</v>
      </c>
      <c r="L87" s="34">
        <f>SUM($J$4:J87)</f>
        <v>-10423853.726443376</v>
      </c>
    </row>
    <row r="88" spans="2:12" x14ac:dyDescent="0.3">
      <c r="B88" s="28">
        <v>85</v>
      </c>
      <c r="C88" s="29">
        <f>EDATE(DATE(2024,1,1),84)</f>
        <v>47849</v>
      </c>
      <c r="D88" s="37" t="str">
        <f>IF(85&gt;Inputs!$C$74,"Expired",IF(Inputs!$C$68&gt;0,IF(85&lt;Inputs!$C$68,"Paying",IF(85&lt;Inputs!$C$68+Inputs!$C$85,"Default","Re-Lease")),"Paying"))</f>
        <v>Paying</v>
      </c>
      <c r="E88" s="30">
        <f>IF(D88="Expired",0,IF(D88="Default",0,IF(D88="Re-Lease",Inputs!$C$71*Inputs!$C$86,Inputs!$C$73)))</f>
        <v>561600</v>
      </c>
      <c r="F88" s="30">
        <f>(Inputs!$C$82*(1+Inputs!$C$83)^7)/12+IF(85=Inputs!$C$68,Inputs!$C$69/12,0)</f>
        <v>102028.86052318824</v>
      </c>
      <c r="G88" s="30">
        <f>IF(D88="Expired",0,(IF(Inputs!$C$5=1,(Inputs!C38+Inputs!C39)/12,(Inputs!F38+Inputs!F39)/12)*(1+Inputs!$C$83)^7))</f>
        <v>62406.002067581154</v>
      </c>
      <c r="H88" s="30">
        <f t="shared" si="6"/>
        <v>397165.13740923058</v>
      </c>
      <c r="I88" s="38">
        <f>'Debt Schedule'!I97</f>
        <v>536541.90098659589</v>
      </c>
      <c r="J88" s="30">
        <f t="shared" si="7"/>
        <v>-139376.76357736532</v>
      </c>
      <c r="K88" s="39">
        <f t="shared" si="8"/>
        <v>0.74023135318774058</v>
      </c>
      <c r="L88" s="30">
        <f>SUM($J$4:J88)</f>
        <v>-10563230.490020741</v>
      </c>
    </row>
    <row r="89" spans="2:12" x14ac:dyDescent="0.3">
      <c r="B89" s="32">
        <v>86</v>
      </c>
      <c r="C89" s="33">
        <f>EDATE(DATE(2024,1,1),85)</f>
        <v>47880</v>
      </c>
      <c r="D89" s="40" t="str">
        <f>IF(86&gt;Inputs!$C$74,"Expired",IF(Inputs!$C$68&gt;0,IF(86&lt;Inputs!$C$68,"Paying",IF(86&lt;Inputs!$C$68+Inputs!$C$85,"Default","Re-Lease")),"Paying"))</f>
        <v>Paying</v>
      </c>
      <c r="E89" s="34">
        <f>IF(D89="Expired",0,IF(D89="Default",0,IF(D89="Re-Lease",Inputs!$C$71*Inputs!$C$86,Inputs!$C$73)))</f>
        <v>561600</v>
      </c>
      <c r="F89" s="34">
        <f>(Inputs!$C$82*(1+Inputs!$C$83)^7)/12+IF(86=Inputs!$C$68,Inputs!$C$69/12,0)</f>
        <v>102028.86052318824</v>
      </c>
      <c r="G89" s="34">
        <f>IF(D89="Expired",0,(IF(Inputs!$C$5=1,(Inputs!C38+Inputs!C39)/12,(Inputs!F38+Inputs!F39)/12)*(1+Inputs!$C$83)^7))</f>
        <v>62406.002067581154</v>
      </c>
      <c r="H89" s="34">
        <f t="shared" si="6"/>
        <v>397165.13740923058</v>
      </c>
      <c r="I89" s="41">
        <f>'Debt Schedule'!I98</f>
        <v>536541.90098659589</v>
      </c>
      <c r="J89" s="34">
        <f t="shared" si="7"/>
        <v>-139376.76357736532</v>
      </c>
      <c r="K89" s="42">
        <f t="shared" si="8"/>
        <v>0.74023135318774058</v>
      </c>
      <c r="L89" s="34">
        <f>SUM($J$4:J89)</f>
        <v>-10702607.253598105</v>
      </c>
    </row>
    <row r="90" spans="2:12" x14ac:dyDescent="0.3">
      <c r="B90" s="28">
        <v>87</v>
      </c>
      <c r="C90" s="29">
        <f>EDATE(DATE(2024,1,1),86)</f>
        <v>47908</v>
      </c>
      <c r="D90" s="37" t="str">
        <f>IF(87&gt;Inputs!$C$74,"Expired",IF(Inputs!$C$68&gt;0,IF(87&lt;Inputs!$C$68,"Paying",IF(87&lt;Inputs!$C$68+Inputs!$C$85,"Default","Re-Lease")),"Paying"))</f>
        <v>Paying</v>
      </c>
      <c r="E90" s="30">
        <f>IF(D90="Expired",0,IF(D90="Default",0,IF(D90="Re-Lease",Inputs!$C$71*Inputs!$C$86,Inputs!$C$73)))</f>
        <v>561600</v>
      </c>
      <c r="F90" s="30">
        <f>(Inputs!$C$82*(1+Inputs!$C$83)^7)/12+IF(87=Inputs!$C$68,Inputs!$C$69/12,0)</f>
        <v>102028.86052318824</v>
      </c>
      <c r="G90" s="30">
        <f>IF(D90="Expired",0,(IF(Inputs!$C$5=1,(Inputs!C38+Inputs!C39)/12,(Inputs!F38+Inputs!F39)/12)*(1+Inputs!$C$83)^7))</f>
        <v>62406.002067581154</v>
      </c>
      <c r="H90" s="30">
        <f t="shared" si="6"/>
        <v>397165.13740923058</v>
      </c>
      <c r="I90" s="38">
        <f>'Debt Schedule'!I99</f>
        <v>536541.90098659589</v>
      </c>
      <c r="J90" s="30">
        <f t="shared" si="7"/>
        <v>-139376.76357736532</v>
      </c>
      <c r="K90" s="39">
        <f t="shared" si="8"/>
        <v>0.74023135318774058</v>
      </c>
      <c r="L90" s="30">
        <f>SUM($J$4:J90)</f>
        <v>-10841984.01717547</v>
      </c>
    </row>
    <row r="91" spans="2:12" x14ac:dyDescent="0.3">
      <c r="B91" s="32">
        <v>88</v>
      </c>
      <c r="C91" s="33">
        <f>EDATE(DATE(2024,1,1),87)</f>
        <v>47939</v>
      </c>
      <c r="D91" s="40" t="str">
        <f>IF(88&gt;Inputs!$C$74,"Expired",IF(Inputs!$C$68&gt;0,IF(88&lt;Inputs!$C$68,"Paying",IF(88&lt;Inputs!$C$68+Inputs!$C$85,"Default","Re-Lease")),"Paying"))</f>
        <v>Paying</v>
      </c>
      <c r="E91" s="34">
        <f>IF(D91="Expired",0,IF(D91="Default",0,IF(D91="Re-Lease",Inputs!$C$71*Inputs!$C$86,Inputs!$C$73)))</f>
        <v>561600</v>
      </c>
      <c r="F91" s="34">
        <f>(Inputs!$C$82*(1+Inputs!$C$83)^7)/12+IF(88=Inputs!$C$68,Inputs!$C$69/12,0)</f>
        <v>102028.86052318824</v>
      </c>
      <c r="G91" s="34">
        <f>IF(D91="Expired",0,(IF(Inputs!$C$5=1,(Inputs!C38+Inputs!C39)/12,(Inputs!F38+Inputs!F39)/12)*(1+Inputs!$C$83)^7))</f>
        <v>62406.002067581154</v>
      </c>
      <c r="H91" s="34">
        <f t="shared" si="6"/>
        <v>397165.13740923058</v>
      </c>
      <c r="I91" s="41">
        <f>'Debt Schedule'!I100</f>
        <v>536541.90098659589</v>
      </c>
      <c r="J91" s="34">
        <f t="shared" si="7"/>
        <v>-139376.76357736532</v>
      </c>
      <c r="K91" s="42">
        <f t="shared" si="8"/>
        <v>0.74023135318774058</v>
      </c>
      <c r="L91" s="34">
        <f>SUM($J$4:J91)</f>
        <v>-10981360.780752834</v>
      </c>
    </row>
    <row r="92" spans="2:12" x14ac:dyDescent="0.3">
      <c r="B92" s="28">
        <v>89</v>
      </c>
      <c r="C92" s="29">
        <f>EDATE(DATE(2024,1,1),88)</f>
        <v>47969</v>
      </c>
      <c r="D92" s="37" t="str">
        <f>IF(89&gt;Inputs!$C$74,"Expired",IF(Inputs!$C$68&gt;0,IF(89&lt;Inputs!$C$68,"Paying",IF(89&lt;Inputs!$C$68+Inputs!$C$85,"Default","Re-Lease")),"Paying"))</f>
        <v>Paying</v>
      </c>
      <c r="E92" s="30">
        <f>IF(D92="Expired",0,IF(D92="Default",0,IF(D92="Re-Lease",Inputs!$C$71*Inputs!$C$86,Inputs!$C$73)))</f>
        <v>561600</v>
      </c>
      <c r="F92" s="30">
        <f>(Inputs!$C$82*(1+Inputs!$C$83)^7)/12+IF(89=Inputs!$C$68,Inputs!$C$69/12,0)</f>
        <v>102028.86052318824</v>
      </c>
      <c r="G92" s="30">
        <f>IF(D92="Expired",0,(IF(Inputs!$C$5=1,(Inputs!C38+Inputs!C39)/12,(Inputs!F38+Inputs!F39)/12)*(1+Inputs!$C$83)^7))</f>
        <v>62406.002067581154</v>
      </c>
      <c r="H92" s="30">
        <f t="shared" si="6"/>
        <v>397165.13740923058</v>
      </c>
      <c r="I92" s="38">
        <f>'Debt Schedule'!I101</f>
        <v>536541.90098659589</v>
      </c>
      <c r="J92" s="30">
        <f t="shared" si="7"/>
        <v>-139376.76357736532</v>
      </c>
      <c r="K92" s="39">
        <f t="shared" si="8"/>
        <v>0.74023135318774058</v>
      </c>
      <c r="L92" s="30">
        <f>SUM($J$4:J92)</f>
        <v>-11120737.544330198</v>
      </c>
    </row>
    <row r="93" spans="2:12" x14ac:dyDescent="0.3">
      <c r="B93" s="32">
        <v>90</v>
      </c>
      <c r="C93" s="33">
        <f>EDATE(DATE(2024,1,1),89)</f>
        <v>48000</v>
      </c>
      <c r="D93" s="40" t="str">
        <f>IF(90&gt;Inputs!$C$74,"Expired",IF(Inputs!$C$68&gt;0,IF(90&lt;Inputs!$C$68,"Paying",IF(90&lt;Inputs!$C$68+Inputs!$C$85,"Default","Re-Lease")),"Paying"))</f>
        <v>Paying</v>
      </c>
      <c r="E93" s="34">
        <f>IF(D93="Expired",0,IF(D93="Default",0,IF(D93="Re-Lease",Inputs!$C$71*Inputs!$C$86,Inputs!$C$73)))</f>
        <v>561600</v>
      </c>
      <c r="F93" s="34">
        <f>(Inputs!$C$82*(1+Inputs!$C$83)^7)/12+IF(90=Inputs!$C$68,Inputs!$C$69/12,0)</f>
        <v>102028.86052318824</v>
      </c>
      <c r="G93" s="34">
        <f>IF(D93="Expired",0,(IF(Inputs!$C$5=1,(Inputs!C38+Inputs!C39)/12,(Inputs!F38+Inputs!F39)/12)*(1+Inputs!$C$83)^7))</f>
        <v>62406.002067581154</v>
      </c>
      <c r="H93" s="34">
        <f t="shared" si="6"/>
        <v>397165.13740923058</v>
      </c>
      <c r="I93" s="41">
        <f>'Debt Schedule'!I102</f>
        <v>536541.90098659589</v>
      </c>
      <c r="J93" s="34">
        <f t="shared" si="7"/>
        <v>-139376.76357736532</v>
      </c>
      <c r="K93" s="42">
        <f t="shared" si="8"/>
        <v>0.74023135318774058</v>
      </c>
      <c r="L93" s="34">
        <f>SUM($J$4:J93)</f>
        <v>-11260114.307907563</v>
      </c>
    </row>
    <row r="94" spans="2:12" x14ac:dyDescent="0.3">
      <c r="B94" s="28">
        <v>91</v>
      </c>
      <c r="C94" s="29">
        <f>EDATE(DATE(2024,1,1),90)</f>
        <v>48030</v>
      </c>
      <c r="D94" s="37" t="str">
        <f>IF(91&gt;Inputs!$C$74,"Expired",IF(Inputs!$C$68&gt;0,IF(91&lt;Inputs!$C$68,"Paying",IF(91&lt;Inputs!$C$68+Inputs!$C$85,"Default","Re-Lease")),"Paying"))</f>
        <v>Paying</v>
      </c>
      <c r="E94" s="30">
        <f>IF(D94="Expired",0,IF(D94="Default",0,IF(D94="Re-Lease",Inputs!$C$71*Inputs!$C$86,Inputs!$C$73)))</f>
        <v>561600</v>
      </c>
      <c r="F94" s="30">
        <f>(Inputs!$C$82*(1+Inputs!$C$83)^7)/12+IF(91=Inputs!$C$68,Inputs!$C$69/12,0)</f>
        <v>102028.86052318824</v>
      </c>
      <c r="G94" s="30">
        <f>IF(D94="Expired",0,(IF(Inputs!$C$5=1,(Inputs!C38+Inputs!C39)/12,(Inputs!F38+Inputs!F39)/12)*(1+Inputs!$C$83)^7))</f>
        <v>62406.002067581154</v>
      </c>
      <c r="H94" s="30">
        <f t="shared" si="6"/>
        <v>397165.13740923058</v>
      </c>
      <c r="I94" s="38">
        <f>'Debt Schedule'!I103</f>
        <v>536541.90098659589</v>
      </c>
      <c r="J94" s="30">
        <f t="shared" si="7"/>
        <v>-139376.76357736532</v>
      </c>
      <c r="K94" s="39">
        <f t="shared" si="8"/>
        <v>0.74023135318774058</v>
      </c>
      <c r="L94" s="30">
        <f>SUM($J$4:J94)</f>
        <v>-11399491.071484927</v>
      </c>
    </row>
    <row r="95" spans="2:12" x14ac:dyDescent="0.3">
      <c r="B95" s="32">
        <v>92</v>
      </c>
      <c r="C95" s="33">
        <f>EDATE(DATE(2024,1,1),91)</f>
        <v>48061</v>
      </c>
      <c r="D95" s="40" t="str">
        <f>IF(92&gt;Inputs!$C$74,"Expired",IF(Inputs!$C$68&gt;0,IF(92&lt;Inputs!$C$68,"Paying",IF(92&lt;Inputs!$C$68+Inputs!$C$85,"Default","Re-Lease")),"Paying"))</f>
        <v>Paying</v>
      </c>
      <c r="E95" s="34">
        <f>IF(D95="Expired",0,IF(D95="Default",0,IF(D95="Re-Lease",Inputs!$C$71*Inputs!$C$86,Inputs!$C$73)))</f>
        <v>561600</v>
      </c>
      <c r="F95" s="34">
        <f>(Inputs!$C$82*(1+Inputs!$C$83)^7)/12+IF(92=Inputs!$C$68,Inputs!$C$69/12,0)</f>
        <v>102028.86052318824</v>
      </c>
      <c r="G95" s="34">
        <f>IF(D95="Expired",0,(IF(Inputs!$C$5=1,(Inputs!C38+Inputs!C39)/12,(Inputs!F38+Inputs!F39)/12)*(1+Inputs!$C$83)^7))</f>
        <v>62406.002067581154</v>
      </c>
      <c r="H95" s="34">
        <f t="shared" si="6"/>
        <v>397165.13740923058</v>
      </c>
      <c r="I95" s="41">
        <f>'Debt Schedule'!I104</f>
        <v>536541.90098659589</v>
      </c>
      <c r="J95" s="34">
        <f t="shared" si="7"/>
        <v>-139376.76357736532</v>
      </c>
      <c r="K95" s="42">
        <f t="shared" si="8"/>
        <v>0.74023135318774058</v>
      </c>
      <c r="L95" s="34">
        <f>SUM($J$4:J95)</f>
        <v>-11538867.835062291</v>
      </c>
    </row>
    <row r="96" spans="2:12" x14ac:dyDescent="0.3">
      <c r="B96" s="28">
        <v>93</v>
      </c>
      <c r="C96" s="29">
        <f>EDATE(DATE(2024,1,1),92)</f>
        <v>48092</v>
      </c>
      <c r="D96" s="37" t="str">
        <f>IF(93&gt;Inputs!$C$74,"Expired",IF(Inputs!$C$68&gt;0,IF(93&lt;Inputs!$C$68,"Paying",IF(93&lt;Inputs!$C$68+Inputs!$C$85,"Default","Re-Lease")),"Paying"))</f>
        <v>Paying</v>
      </c>
      <c r="E96" s="30">
        <f>IF(D96="Expired",0,IF(D96="Default",0,IF(D96="Re-Lease",Inputs!$C$71*Inputs!$C$86,Inputs!$C$73)))</f>
        <v>561600</v>
      </c>
      <c r="F96" s="30">
        <f>(Inputs!$C$82*(1+Inputs!$C$83)^7)/12+IF(93=Inputs!$C$68,Inputs!$C$69/12,0)</f>
        <v>102028.86052318824</v>
      </c>
      <c r="G96" s="30">
        <f>IF(D96="Expired",0,(IF(Inputs!$C$5=1,(Inputs!C38+Inputs!C39)/12,(Inputs!F38+Inputs!F39)/12)*(1+Inputs!$C$83)^7))</f>
        <v>62406.002067581154</v>
      </c>
      <c r="H96" s="30">
        <f t="shared" si="6"/>
        <v>397165.13740923058</v>
      </c>
      <c r="I96" s="38">
        <f>'Debt Schedule'!I105</f>
        <v>536541.90098659589</v>
      </c>
      <c r="J96" s="30">
        <f t="shared" si="7"/>
        <v>-139376.76357736532</v>
      </c>
      <c r="K96" s="39">
        <f t="shared" si="8"/>
        <v>0.74023135318774058</v>
      </c>
      <c r="L96" s="30">
        <f>SUM($J$4:J96)</f>
        <v>-11678244.598639656</v>
      </c>
    </row>
    <row r="97" spans="2:12" x14ac:dyDescent="0.3">
      <c r="B97" s="32">
        <v>94</v>
      </c>
      <c r="C97" s="33">
        <f>EDATE(DATE(2024,1,1),93)</f>
        <v>48122</v>
      </c>
      <c r="D97" s="40" t="str">
        <f>IF(94&gt;Inputs!$C$74,"Expired",IF(Inputs!$C$68&gt;0,IF(94&lt;Inputs!$C$68,"Paying",IF(94&lt;Inputs!$C$68+Inputs!$C$85,"Default","Re-Lease")),"Paying"))</f>
        <v>Paying</v>
      </c>
      <c r="E97" s="34">
        <f>IF(D97="Expired",0,IF(D97="Default",0,IF(D97="Re-Lease",Inputs!$C$71*Inputs!$C$86,Inputs!$C$73)))</f>
        <v>561600</v>
      </c>
      <c r="F97" s="34">
        <f>(Inputs!$C$82*(1+Inputs!$C$83)^7)/12+IF(94=Inputs!$C$68,Inputs!$C$69/12,0)</f>
        <v>102028.86052318824</v>
      </c>
      <c r="G97" s="34">
        <f>IF(D97="Expired",0,(IF(Inputs!$C$5=1,(Inputs!C38+Inputs!C39)/12,(Inputs!F38+Inputs!F39)/12)*(1+Inputs!$C$83)^7))</f>
        <v>62406.002067581154</v>
      </c>
      <c r="H97" s="34">
        <f t="shared" si="6"/>
        <v>397165.13740923058</v>
      </c>
      <c r="I97" s="41">
        <f>'Debt Schedule'!I106</f>
        <v>536541.90098659589</v>
      </c>
      <c r="J97" s="34">
        <f t="shared" si="7"/>
        <v>-139376.76357736532</v>
      </c>
      <c r="K97" s="42">
        <f t="shared" si="8"/>
        <v>0.74023135318774058</v>
      </c>
      <c r="L97" s="34">
        <f>SUM($J$4:J97)</f>
        <v>-11817621.36221702</v>
      </c>
    </row>
    <row r="98" spans="2:12" x14ac:dyDescent="0.3">
      <c r="B98" s="28">
        <v>95</v>
      </c>
      <c r="C98" s="29">
        <f>EDATE(DATE(2024,1,1),94)</f>
        <v>48153</v>
      </c>
      <c r="D98" s="37" t="str">
        <f>IF(95&gt;Inputs!$C$74,"Expired",IF(Inputs!$C$68&gt;0,IF(95&lt;Inputs!$C$68,"Paying",IF(95&lt;Inputs!$C$68+Inputs!$C$85,"Default","Re-Lease")),"Paying"))</f>
        <v>Paying</v>
      </c>
      <c r="E98" s="30">
        <f>IF(D98="Expired",0,IF(D98="Default",0,IF(D98="Re-Lease",Inputs!$C$71*Inputs!$C$86,Inputs!$C$73)))</f>
        <v>561600</v>
      </c>
      <c r="F98" s="30">
        <f>(Inputs!$C$82*(1+Inputs!$C$83)^7)/12+IF(95=Inputs!$C$68,Inputs!$C$69/12,0)</f>
        <v>102028.86052318824</v>
      </c>
      <c r="G98" s="30">
        <f>IF(D98="Expired",0,(IF(Inputs!$C$5=1,(Inputs!C38+Inputs!C39)/12,(Inputs!F38+Inputs!F39)/12)*(1+Inputs!$C$83)^7))</f>
        <v>62406.002067581154</v>
      </c>
      <c r="H98" s="30">
        <f t="shared" si="6"/>
        <v>397165.13740923058</v>
      </c>
      <c r="I98" s="38">
        <f>'Debt Schedule'!I107</f>
        <v>536541.90098659589</v>
      </c>
      <c r="J98" s="30">
        <f t="shared" si="7"/>
        <v>-139376.76357736532</v>
      </c>
      <c r="K98" s="39">
        <f t="shared" si="8"/>
        <v>0.74023135318774058</v>
      </c>
      <c r="L98" s="30">
        <f>SUM($J$4:J98)</f>
        <v>-11956998.125794385</v>
      </c>
    </row>
    <row r="99" spans="2:12" x14ac:dyDescent="0.3">
      <c r="B99" s="32">
        <v>96</v>
      </c>
      <c r="C99" s="33">
        <f>EDATE(DATE(2024,1,1),95)</f>
        <v>48183</v>
      </c>
      <c r="D99" s="40" t="str">
        <f>IF(96&gt;Inputs!$C$74,"Expired",IF(Inputs!$C$68&gt;0,IF(96&lt;Inputs!$C$68,"Paying",IF(96&lt;Inputs!$C$68+Inputs!$C$85,"Default","Re-Lease")),"Paying"))</f>
        <v>Paying</v>
      </c>
      <c r="E99" s="34">
        <f>IF(D99="Expired",0,IF(D99="Default",0,IF(D99="Re-Lease",Inputs!$C$71*Inputs!$C$86,Inputs!$C$73)))</f>
        <v>561600</v>
      </c>
      <c r="F99" s="34">
        <f>(Inputs!$C$82*(1+Inputs!$C$83)^7)/12+IF(96=Inputs!$C$68,Inputs!$C$69/12,0)</f>
        <v>102028.86052318824</v>
      </c>
      <c r="G99" s="34">
        <f>IF(D99="Expired",0,(IF(Inputs!$C$5=1,(Inputs!C38+Inputs!C39)/12,(Inputs!F38+Inputs!F39)/12)*(1+Inputs!$C$83)^7))</f>
        <v>62406.002067581154</v>
      </c>
      <c r="H99" s="34">
        <f t="shared" si="6"/>
        <v>397165.13740923058</v>
      </c>
      <c r="I99" s="41">
        <f>'Debt Schedule'!I108</f>
        <v>536541.90098659589</v>
      </c>
      <c r="J99" s="34">
        <f t="shared" si="7"/>
        <v>-139376.76357736532</v>
      </c>
      <c r="K99" s="42">
        <f t="shared" si="8"/>
        <v>0.74023135318774058</v>
      </c>
      <c r="L99" s="34">
        <f>SUM($J$4:J99)</f>
        <v>-12096374.889371749</v>
      </c>
    </row>
    <row r="100" spans="2:12" x14ac:dyDescent="0.3">
      <c r="B100" s="28">
        <v>97</v>
      </c>
      <c r="C100" s="29">
        <f>EDATE(DATE(2024,1,1),96)</f>
        <v>48214</v>
      </c>
      <c r="D100" s="37" t="str">
        <f>IF(97&gt;Inputs!$C$74,"Expired",IF(Inputs!$C$68&gt;0,IF(97&lt;Inputs!$C$68,"Paying",IF(97&lt;Inputs!$C$68+Inputs!$C$85,"Default","Re-Lease")),"Paying"))</f>
        <v>Paying</v>
      </c>
      <c r="E100" s="30">
        <f>IF(D100="Expired",0,IF(D100="Default",0,IF(D100="Re-Lease",Inputs!$C$71*Inputs!$C$86,Inputs!$C$73)))</f>
        <v>561600</v>
      </c>
      <c r="F100" s="30">
        <f>(Inputs!$C$82*(1+Inputs!$C$83)^8)/12+IF(97=Inputs!$C$68,Inputs!$C$69/12,0)</f>
        <v>104579.58203626792</v>
      </c>
      <c r="G100" s="30">
        <f>IF(D100="Expired",0,(IF(Inputs!$C$5=1,(Inputs!C38+Inputs!C39)/12,(Inputs!F38+Inputs!F39)/12)*(1+Inputs!$C$83)^8))</f>
        <v>63966.152119270679</v>
      </c>
      <c r="H100" s="30">
        <f t="shared" ref="H100:H131" si="9">E100-F100-G100</f>
        <v>393054.26584446139</v>
      </c>
      <c r="I100" s="38">
        <f>'Debt Schedule'!I109</f>
        <v>536541.90098659589</v>
      </c>
      <c r="J100" s="30">
        <f t="shared" ref="J100:J131" si="10">H100-I100</f>
        <v>-143487.6351421345</v>
      </c>
      <c r="K100" s="39">
        <f t="shared" ref="K100:K131" si="11">IFERROR(H100/I100,"-")</f>
        <v>0.73256956282763985</v>
      </c>
      <c r="L100" s="30">
        <f>SUM($J$4:J100)</f>
        <v>-12239862.524513884</v>
      </c>
    </row>
    <row r="101" spans="2:12" x14ac:dyDescent="0.3">
      <c r="B101" s="32">
        <v>98</v>
      </c>
      <c r="C101" s="33">
        <f>EDATE(DATE(2024,1,1),97)</f>
        <v>48245</v>
      </c>
      <c r="D101" s="40" t="str">
        <f>IF(98&gt;Inputs!$C$74,"Expired",IF(Inputs!$C$68&gt;0,IF(98&lt;Inputs!$C$68,"Paying",IF(98&lt;Inputs!$C$68+Inputs!$C$85,"Default","Re-Lease")),"Paying"))</f>
        <v>Paying</v>
      </c>
      <c r="E101" s="34">
        <f>IF(D101="Expired",0,IF(D101="Default",0,IF(D101="Re-Lease",Inputs!$C$71*Inputs!$C$86,Inputs!$C$73)))</f>
        <v>561600</v>
      </c>
      <c r="F101" s="34">
        <f>(Inputs!$C$82*(1+Inputs!$C$83)^8)/12+IF(98=Inputs!$C$68,Inputs!$C$69/12,0)</f>
        <v>104579.58203626792</v>
      </c>
      <c r="G101" s="34">
        <f>IF(D101="Expired",0,(IF(Inputs!$C$5=1,(Inputs!C38+Inputs!C39)/12,(Inputs!F38+Inputs!F39)/12)*(1+Inputs!$C$83)^8))</f>
        <v>63966.152119270679</v>
      </c>
      <c r="H101" s="34">
        <f t="shared" si="9"/>
        <v>393054.26584446139</v>
      </c>
      <c r="I101" s="41">
        <f>'Debt Schedule'!I110</f>
        <v>536541.90098659589</v>
      </c>
      <c r="J101" s="34">
        <f t="shared" si="10"/>
        <v>-143487.6351421345</v>
      </c>
      <c r="K101" s="42">
        <f t="shared" si="11"/>
        <v>0.73256956282763985</v>
      </c>
      <c r="L101" s="34">
        <f>SUM($J$4:J101)</f>
        <v>-12383350.159656018</v>
      </c>
    </row>
    <row r="102" spans="2:12" x14ac:dyDescent="0.3">
      <c r="B102" s="28">
        <v>99</v>
      </c>
      <c r="C102" s="29">
        <f>EDATE(DATE(2024,1,1),98)</f>
        <v>48274</v>
      </c>
      <c r="D102" s="37" t="str">
        <f>IF(99&gt;Inputs!$C$74,"Expired",IF(Inputs!$C$68&gt;0,IF(99&lt;Inputs!$C$68,"Paying",IF(99&lt;Inputs!$C$68+Inputs!$C$85,"Default","Re-Lease")),"Paying"))</f>
        <v>Paying</v>
      </c>
      <c r="E102" s="30">
        <f>IF(D102="Expired",0,IF(D102="Default",0,IF(D102="Re-Lease",Inputs!$C$71*Inputs!$C$86,Inputs!$C$73)))</f>
        <v>561600</v>
      </c>
      <c r="F102" s="30">
        <f>(Inputs!$C$82*(1+Inputs!$C$83)^8)/12+IF(99=Inputs!$C$68,Inputs!$C$69/12,0)</f>
        <v>104579.58203626792</v>
      </c>
      <c r="G102" s="30">
        <f>IF(D102="Expired",0,(IF(Inputs!$C$5=1,(Inputs!C38+Inputs!C39)/12,(Inputs!F38+Inputs!F39)/12)*(1+Inputs!$C$83)^8))</f>
        <v>63966.152119270679</v>
      </c>
      <c r="H102" s="30">
        <f t="shared" si="9"/>
        <v>393054.26584446139</v>
      </c>
      <c r="I102" s="38">
        <f>'Debt Schedule'!I111</f>
        <v>536541.90098659589</v>
      </c>
      <c r="J102" s="30">
        <f t="shared" si="10"/>
        <v>-143487.6351421345</v>
      </c>
      <c r="K102" s="39">
        <f t="shared" si="11"/>
        <v>0.73256956282763985</v>
      </c>
      <c r="L102" s="30">
        <f>SUM($J$4:J102)</f>
        <v>-12526837.794798153</v>
      </c>
    </row>
    <row r="103" spans="2:12" x14ac:dyDescent="0.3">
      <c r="B103" s="32">
        <v>100</v>
      </c>
      <c r="C103" s="33">
        <f>EDATE(DATE(2024,1,1),99)</f>
        <v>48305</v>
      </c>
      <c r="D103" s="40" t="str">
        <f>IF(100&gt;Inputs!$C$74,"Expired",IF(Inputs!$C$68&gt;0,IF(100&lt;Inputs!$C$68,"Paying",IF(100&lt;Inputs!$C$68+Inputs!$C$85,"Default","Re-Lease")),"Paying"))</f>
        <v>Paying</v>
      </c>
      <c r="E103" s="34">
        <f>IF(D103="Expired",0,IF(D103="Default",0,IF(D103="Re-Lease",Inputs!$C$71*Inputs!$C$86,Inputs!$C$73)))</f>
        <v>561600</v>
      </c>
      <c r="F103" s="34">
        <f>(Inputs!$C$82*(1+Inputs!$C$83)^8)/12+IF(100=Inputs!$C$68,Inputs!$C$69/12,0)</f>
        <v>104579.58203626792</v>
      </c>
      <c r="G103" s="34">
        <f>IF(D103="Expired",0,(IF(Inputs!$C$5=1,(Inputs!C38+Inputs!C39)/12,(Inputs!F38+Inputs!F39)/12)*(1+Inputs!$C$83)^8))</f>
        <v>63966.152119270679</v>
      </c>
      <c r="H103" s="34">
        <f t="shared" si="9"/>
        <v>393054.26584446139</v>
      </c>
      <c r="I103" s="41">
        <f>'Debt Schedule'!I112</f>
        <v>536541.90098659589</v>
      </c>
      <c r="J103" s="34">
        <f t="shared" si="10"/>
        <v>-143487.6351421345</v>
      </c>
      <c r="K103" s="42">
        <f t="shared" si="11"/>
        <v>0.73256956282763985</v>
      </c>
      <c r="L103" s="34">
        <f>SUM($J$4:J103)</f>
        <v>-12670325.429940287</v>
      </c>
    </row>
    <row r="104" spans="2:12" x14ac:dyDescent="0.3">
      <c r="B104" s="28">
        <v>101</v>
      </c>
      <c r="C104" s="29">
        <f>EDATE(DATE(2024,1,1),100)</f>
        <v>48335</v>
      </c>
      <c r="D104" s="37" t="str">
        <f>IF(101&gt;Inputs!$C$74,"Expired",IF(Inputs!$C$68&gt;0,IF(101&lt;Inputs!$C$68,"Paying",IF(101&lt;Inputs!$C$68+Inputs!$C$85,"Default","Re-Lease")),"Paying"))</f>
        <v>Paying</v>
      </c>
      <c r="E104" s="30">
        <f>IF(D104="Expired",0,IF(D104="Default",0,IF(D104="Re-Lease",Inputs!$C$71*Inputs!$C$86,Inputs!$C$73)))</f>
        <v>561600</v>
      </c>
      <c r="F104" s="30">
        <f>(Inputs!$C$82*(1+Inputs!$C$83)^8)/12+IF(101=Inputs!$C$68,Inputs!$C$69/12,0)</f>
        <v>104579.58203626792</v>
      </c>
      <c r="G104" s="30">
        <f>IF(D104="Expired",0,(IF(Inputs!$C$5=1,(Inputs!C38+Inputs!C39)/12,(Inputs!F38+Inputs!F39)/12)*(1+Inputs!$C$83)^8))</f>
        <v>63966.152119270679</v>
      </c>
      <c r="H104" s="30">
        <f t="shared" si="9"/>
        <v>393054.26584446139</v>
      </c>
      <c r="I104" s="38">
        <f>'Debt Schedule'!I113</f>
        <v>536541.90098659589</v>
      </c>
      <c r="J104" s="30">
        <f t="shared" si="10"/>
        <v>-143487.6351421345</v>
      </c>
      <c r="K104" s="39">
        <f t="shared" si="11"/>
        <v>0.73256956282763985</v>
      </c>
      <c r="L104" s="30">
        <f>SUM($J$4:J104)</f>
        <v>-12813813.065082422</v>
      </c>
    </row>
    <row r="105" spans="2:12" x14ac:dyDescent="0.3">
      <c r="B105" s="32">
        <v>102</v>
      </c>
      <c r="C105" s="33">
        <f>EDATE(DATE(2024,1,1),101)</f>
        <v>48366</v>
      </c>
      <c r="D105" s="40" t="str">
        <f>IF(102&gt;Inputs!$C$74,"Expired",IF(Inputs!$C$68&gt;0,IF(102&lt;Inputs!$C$68,"Paying",IF(102&lt;Inputs!$C$68+Inputs!$C$85,"Default","Re-Lease")),"Paying"))</f>
        <v>Paying</v>
      </c>
      <c r="E105" s="34">
        <f>IF(D105="Expired",0,IF(D105="Default",0,IF(D105="Re-Lease",Inputs!$C$71*Inputs!$C$86,Inputs!$C$73)))</f>
        <v>561600</v>
      </c>
      <c r="F105" s="34">
        <f>(Inputs!$C$82*(1+Inputs!$C$83)^8)/12+IF(102=Inputs!$C$68,Inputs!$C$69/12,0)</f>
        <v>104579.58203626792</v>
      </c>
      <c r="G105" s="34">
        <f>IF(D105="Expired",0,(IF(Inputs!$C$5=1,(Inputs!C38+Inputs!C39)/12,(Inputs!F38+Inputs!F39)/12)*(1+Inputs!$C$83)^8))</f>
        <v>63966.152119270679</v>
      </c>
      <c r="H105" s="34">
        <f t="shared" si="9"/>
        <v>393054.26584446139</v>
      </c>
      <c r="I105" s="41">
        <f>'Debt Schedule'!I114</f>
        <v>536541.90098659589</v>
      </c>
      <c r="J105" s="34">
        <f t="shared" si="10"/>
        <v>-143487.6351421345</v>
      </c>
      <c r="K105" s="42">
        <f t="shared" si="11"/>
        <v>0.73256956282763985</v>
      </c>
      <c r="L105" s="34">
        <f>SUM($J$4:J105)</f>
        <v>-12957300.700224556</v>
      </c>
    </row>
    <row r="106" spans="2:12" x14ac:dyDescent="0.3">
      <c r="B106" s="28">
        <v>103</v>
      </c>
      <c r="C106" s="29">
        <f>EDATE(DATE(2024,1,1),102)</f>
        <v>48396</v>
      </c>
      <c r="D106" s="37" t="str">
        <f>IF(103&gt;Inputs!$C$74,"Expired",IF(Inputs!$C$68&gt;0,IF(103&lt;Inputs!$C$68,"Paying",IF(103&lt;Inputs!$C$68+Inputs!$C$85,"Default","Re-Lease")),"Paying"))</f>
        <v>Paying</v>
      </c>
      <c r="E106" s="30">
        <f>IF(D106="Expired",0,IF(D106="Default",0,IF(D106="Re-Lease",Inputs!$C$71*Inputs!$C$86,Inputs!$C$73)))</f>
        <v>561600</v>
      </c>
      <c r="F106" s="30">
        <f>(Inputs!$C$82*(1+Inputs!$C$83)^8)/12+IF(103=Inputs!$C$68,Inputs!$C$69/12,0)</f>
        <v>104579.58203626792</v>
      </c>
      <c r="G106" s="30">
        <f>IF(D106="Expired",0,(IF(Inputs!$C$5=1,(Inputs!C38+Inputs!C39)/12,(Inputs!F38+Inputs!F39)/12)*(1+Inputs!$C$83)^8))</f>
        <v>63966.152119270679</v>
      </c>
      <c r="H106" s="30">
        <f t="shared" si="9"/>
        <v>393054.26584446139</v>
      </c>
      <c r="I106" s="38">
        <f>'Debt Schedule'!I115</f>
        <v>536541.90098659589</v>
      </c>
      <c r="J106" s="30">
        <f t="shared" si="10"/>
        <v>-143487.6351421345</v>
      </c>
      <c r="K106" s="39">
        <f t="shared" si="11"/>
        <v>0.73256956282763985</v>
      </c>
      <c r="L106" s="30">
        <f>SUM($J$4:J106)</f>
        <v>-13100788.335366691</v>
      </c>
    </row>
    <row r="107" spans="2:12" x14ac:dyDescent="0.3">
      <c r="B107" s="32">
        <v>104</v>
      </c>
      <c r="C107" s="33">
        <f>EDATE(DATE(2024,1,1),103)</f>
        <v>48427</v>
      </c>
      <c r="D107" s="40" t="str">
        <f>IF(104&gt;Inputs!$C$74,"Expired",IF(Inputs!$C$68&gt;0,IF(104&lt;Inputs!$C$68,"Paying",IF(104&lt;Inputs!$C$68+Inputs!$C$85,"Default","Re-Lease")),"Paying"))</f>
        <v>Paying</v>
      </c>
      <c r="E107" s="34">
        <f>IF(D107="Expired",0,IF(D107="Default",0,IF(D107="Re-Lease",Inputs!$C$71*Inputs!$C$86,Inputs!$C$73)))</f>
        <v>561600</v>
      </c>
      <c r="F107" s="34">
        <f>(Inputs!$C$82*(1+Inputs!$C$83)^8)/12+IF(104=Inputs!$C$68,Inputs!$C$69/12,0)</f>
        <v>104579.58203626792</v>
      </c>
      <c r="G107" s="34">
        <f>IF(D107="Expired",0,(IF(Inputs!$C$5=1,(Inputs!C38+Inputs!C39)/12,(Inputs!F38+Inputs!F39)/12)*(1+Inputs!$C$83)^8))</f>
        <v>63966.152119270679</v>
      </c>
      <c r="H107" s="34">
        <f t="shared" si="9"/>
        <v>393054.26584446139</v>
      </c>
      <c r="I107" s="41">
        <f>'Debt Schedule'!I116</f>
        <v>536541.90098659589</v>
      </c>
      <c r="J107" s="34">
        <f t="shared" si="10"/>
        <v>-143487.6351421345</v>
      </c>
      <c r="K107" s="42">
        <f t="shared" si="11"/>
        <v>0.73256956282763985</v>
      </c>
      <c r="L107" s="34">
        <f>SUM($J$4:J107)</f>
        <v>-13244275.970508825</v>
      </c>
    </row>
    <row r="108" spans="2:12" x14ac:dyDescent="0.3">
      <c r="B108" s="28">
        <v>105</v>
      </c>
      <c r="C108" s="29">
        <f>EDATE(DATE(2024,1,1),104)</f>
        <v>48458</v>
      </c>
      <c r="D108" s="37" t="str">
        <f>IF(105&gt;Inputs!$C$74,"Expired",IF(Inputs!$C$68&gt;0,IF(105&lt;Inputs!$C$68,"Paying",IF(105&lt;Inputs!$C$68+Inputs!$C$85,"Default","Re-Lease")),"Paying"))</f>
        <v>Paying</v>
      </c>
      <c r="E108" s="30">
        <f>IF(D108="Expired",0,IF(D108="Default",0,IF(D108="Re-Lease",Inputs!$C$71*Inputs!$C$86,Inputs!$C$73)))</f>
        <v>561600</v>
      </c>
      <c r="F108" s="30">
        <f>(Inputs!$C$82*(1+Inputs!$C$83)^8)/12+IF(105=Inputs!$C$68,Inputs!$C$69/12,0)</f>
        <v>104579.58203626792</v>
      </c>
      <c r="G108" s="30">
        <f>IF(D108="Expired",0,(IF(Inputs!$C$5=1,(Inputs!C38+Inputs!C39)/12,(Inputs!F38+Inputs!F39)/12)*(1+Inputs!$C$83)^8))</f>
        <v>63966.152119270679</v>
      </c>
      <c r="H108" s="30">
        <f t="shared" si="9"/>
        <v>393054.26584446139</v>
      </c>
      <c r="I108" s="38">
        <f>'Debt Schedule'!I117</f>
        <v>536541.90098659589</v>
      </c>
      <c r="J108" s="30">
        <f t="shared" si="10"/>
        <v>-143487.6351421345</v>
      </c>
      <c r="K108" s="39">
        <f t="shared" si="11"/>
        <v>0.73256956282763985</v>
      </c>
      <c r="L108" s="30">
        <f>SUM($J$4:J108)</f>
        <v>-13387763.60565096</v>
      </c>
    </row>
    <row r="109" spans="2:12" x14ac:dyDescent="0.3">
      <c r="B109" s="32">
        <v>106</v>
      </c>
      <c r="C109" s="33">
        <f>EDATE(DATE(2024,1,1),105)</f>
        <v>48488</v>
      </c>
      <c r="D109" s="40" t="str">
        <f>IF(106&gt;Inputs!$C$74,"Expired",IF(Inputs!$C$68&gt;0,IF(106&lt;Inputs!$C$68,"Paying",IF(106&lt;Inputs!$C$68+Inputs!$C$85,"Default","Re-Lease")),"Paying"))</f>
        <v>Paying</v>
      </c>
      <c r="E109" s="34">
        <f>IF(D109="Expired",0,IF(D109="Default",0,IF(D109="Re-Lease",Inputs!$C$71*Inputs!$C$86,Inputs!$C$73)))</f>
        <v>561600</v>
      </c>
      <c r="F109" s="34">
        <f>(Inputs!$C$82*(1+Inputs!$C$83)^8)/12+IF(106=Inputs!$C$68,Inputs!$C$69/12,0)</f>
        <v>104579.58203626792</v>
      </c>
      <c r="G109" s="34">
        <f>IF(D109="Expired",0,(IF(Inputs!$C$5=1,(Inputs!C38+Inputs!C39)/12,(Inputs!F38+Inputs!F39)/12)*(1+Inputs!$C$83)^8))</f>
        <v>63966.152119270679</v>
      </c>
      <c r="H109" s="34">
        <f t="shared" si="9"/>
        <v>393054.26584446139</v>
      </c>
      <c r="I109" s="41">
        <f>'Debt Schedule'!I118</f>
        <v>536541.90098659589</v>
      </c>
      <c r="J109" s="34">
        <f t="shared" si="10"/>
        <v>-143487.6351421345</v>
      </c>
      <c r="K109" s="42">
        <f t="shared" si="11"/>
        <v>0.73256956282763985</v>
      </c>
      <c r="L109" s="34">
        <f>SUM($J$4:J109)</f>
        <v>-13531251.240793094</v>
      </c>
    </row>
    <row r="110" spans="2:12" x14ac:dyDescent="0.3">
      <c r="B110" s="28">
        <v>107</v>
      </c>
      <c r="C110" s="29">
        <f>EDATE(DATE(2024,1,1),106)</f>
        <v>48519</v>
      </c>
      <c r="D110" s="37" t="str">
        <f>IF(107&gt;Inputs!$C$74,"Expired",IF(Inputs!$C$68&gt;0,IF(107&lt;Inputs!$C$68,"Paying",IF(107&lt;Inputs!$C$68+Inputs!$C$85,"Default","Re-Lease")),"Paying"))</f>
        <v>Paying</v>
      </c>
      <c r="E110" s="30">
        <f>IF(D110="Expired",0,IF(D110="Default",0,IF(D110="Re-Lease",Inputs!$C$71*Inputs!$C$86,Inputs!$C$73)))</f>
        <v>561600</v>
      </c>
      <c r="F110" s="30">
        <f>(Inputs!$C$82*(1+Inputs!$C$83)^8)/12+IF(107=Inputs!$C$68,Inputs!$C$69/12,0)</f>
        <v>104579.58203626792</v>
      </c>
      <c r="G110" s="30">
        <f>IF(D110="Expired",0,(IF(Inputs!$C$5=1,(Inputs!C38+Inputs!C39)/12,(Inputs!F38+Inputs!F39)/12)*(1+Inputs!$C$83)^8))</f>
        <v>63966.152119270679</v>
      </c>
      <c r="H110" s="30">
        <f t="shared" si="9"/>
        <v>393054.26584446139</v>
      </c>
      <c r="I110" s="38">
        <f>'Debt Schedule'!I119</f>
        <v>536541.90098659589</v>
      </c>
      <c r="J110" s="30">
        <f t="shared" si="10"/>
        <v>-143487.6351421345</v>
      </c>
      <c r="K110" s="39">
        <f t="shared" si="11"/>
        <v>0.73256956282763985</v>
      </c>
      <c r="L110" s="30">
        <f>SUM($J$4:J110)</f>
        <v>-13674738.875935229</v>
      </c>
    </row>
    <row r="111" spans="2:12" x14ac:dyDescent="0.3">
      <c r="B111" s="32">
        <v>108</v>
      </c>
      <c r="C111" s="33">
        <f>EDATE(DATE(2024,1,1),107)</f>
        <v>48549</v>
      </c>
      <c r="D111" s="40" t="str">
        <f>IF(108&gt;Inputs!$C$74,"Expired",IF(Inputs!$C$68&gt;0,IF(108&lt;Inputs!$C$68,"Paying",IF(108&lt;Inputs!$C$68+Inputs!$C$85,"Default","Re-Lease")),"Paying"))</f>
        <v>Paying</v>
      </c>
      <c r="E111" s="34">
        <f>IF(D111="Expired",0,IF(D111="Default",0,IF(D111="Re-Lease",Inputs!$C$71*Inputs!$C$86,Inputs!$C$73)))</f>
        <v>561600</v>
      </c>
      <c r="F111" s="34">
        <f>(Inputs!$C$82*(1+Inputs!$C$83)^8)/12+IF(108=Inputs!$C$68,Inputs!$C$69/12,0)</f>
        <v>104579.58203626792</v>
      </c>
      <c r="G111" s="34">
        <f>IF(D111="Expired",0,(IF(Inputs!$C$5=1,(Inputs!C38+Inputs!C39)/12,(Inputs!F38+Inputs!F39)/12)*(1+Inputs!$C$83)^8))</f>
        <v>63966.152119270679</v>
      </c>
      <c r="H111" s="34">
        <f t="shared" si="9"/>
        <v>393054.26584446139</v>
      </c>
      <c r="I111" s="41">
        <f>'Debt Schedule'!I120</f>
        <v>536541.90098659589</v>
      </c>
      <c r="J111" s="34">
        <f t="shared" si="10"/>
        <v>-143487.6351421345</v>
      </c>
      <c r="K111" s="42">
        <f t="shared" si="11"/>
        <v>0.73256956282763985</v>
      </c>
      <c r="L111" s="34">
        <f>SUM($J$4:J111)</f>
        <v>-13818226.511077363</v>
      </c>
    </row>
    <row r="112" spans="2:12" x14ac:dyDescent="0.3">
      <c r="B112" s="28">
        <v>109</v>
      </c>
      <c r="C112" s="29">
        <f>EDATE(DATE(2024,1,1),108)</f>
        <v>48580</v>
      </c>
      <c r="D112" s="37" t="str">
        <f>IF(109&gt;Inputs!$C$74,"Expired",IF(Inputs!$C$68&gt;0,IF(109&lt;Inputs!$C$68,"Paying",IF(109&lt;Inputs!$C$68+Inputs!$C$85,"Default","Re-Lease")),"Paying"))</f>
        <v>Paying</v>
      </c>
      <c r="E112" s="30">
        <f>IF(D112="Expired",0,IF(D112="Default",0,IF(D112="Re-Lease",Inputs!$C$71*Inputs!$C$86,Inputs!$C$73)))</f>
        <v>561600</v>
      </c>
      <c r="F112" s="30">
        <f>(Inputs!$C$82*(1+Inputs!$C$83)^9)/12+IF(109=Inputs!$C$68,Inputs!$C$69/12,0)</f>
        <v>107194.07158717461</v>
      </c>
      <c r="G112" s="30">
        <f>IF(D112="Expired",0,(IF(Inputs!$C$5=1,(Inputs!C38+Inputs!C39)/12,(Inputs!F38+Inputs!F39)/12)*(1+Inputs!$C$83)^9))</f>
        <v>65565.305922252432</v>
      </c>
      <c r="H112" s="30">
        <f t="shared" si="9"/>
        <v>388840.62249057298</v>
      </c>
      <c r="I112" s="38">
        <f>'Debt Schedule'!I121</f>
        <v>536541.90098659589</v>
      </c>
      <c r="J112" s="30">
        <f t="shared" si="10"/>
        <v>-147701.27849602292</v>
      </c>
      <c r="K112" s="39">
        <f t="shared" si="11"/>
        <v>0.72471622770853672</v>
      </c>
      <c r="L112" s="30">
        <f>SUM($J$4:J112)</f>
        <v>-13965927.789573386</v>
      </c>
    </row>
    <row r="113" spans="2:12" x14ac:dyDescent="0.3">
      <c r="B113" s="32">
        <v>110</v>
      </c>
      <c r="C113" s="33">
        <f>EDATE(DATE(2024,1,1),109)</f>
        <v>48611</v>
      </c>
      <c r="D113" s="40" t="str">
        <f>IF(110&gt;Inputs!$C$74,"Expired",IF(Inputs!$C$68&gt;0,IF(110&lt;Inputs!$C$68,"Paying",IF(110&lt;Inputs!$C$68+Inputs!$C$85,"Default","Re-Lease")),"Paying"))</f>
        <v>Paying</v>
      </c>
      <c r="E113" s="34">
        <f>IF(D113="Expired",0,IF(D113="Default",0,IF(D113="Re-Lease",Inputs!$C$71*Inputs!$C$86,Inputs!$C$73)))</f>
        <v>561600</v>
      </c>
      <c r="F113" s="34">
        <f>(Inputs!$C$82*(1+Inputs!$C$83)^9)/12+IF(110=Inputs!$C$68,Inputs!$C$69/12,0)</f>
        <v>107194.07158717461</v>
      </c>
      <c r="G113" s="34">
        <f>IF(D113="Expired",0,(IF(Inputs!$C$5=1,(Inputs!C38+Inputs!C39)/12,(Inputs!F38+Inputs!F39)/12)*(1+Inputs!$C$83)^9))</f>
        <v>65565.305922252432</v>
      </c>
      <c r="H113" s="34">
        <f t="shared" si="9"/>
        <v>388840.62249057298</v>
      </c>
      <c r="I113" s="41">
        <f>'Debt Schedule'!I122</f>
        <v>536541.90098659589</v>
      </c>
      <c r="J113" s="34">
        <f t="shared" si="10"/>
        <v>-147701.27849602292</v>
      </c>
      <c r="K113" s="42">
        <f t="shared" si="11"/>
        <v>0.72471622770853672</v>
      </c>
      <c r="L113" s="34">
        <f>SUM($J$4:J113)</f>
        <v>-14113629.06806941</v>
      </c>
    </row>
    <row r="114" spans="2:12" x14ac:dyDescent="0.3">
      <c r="B114" s="28">
        <v>111</v>
      </c>
      <c r="C114" s="29">
        <f>EDATE(DATE(2024,1,1),110)</f>
        <v>48639</v>
      </c>
      <c r="D114" s="37" t="str">
        <f>IF(111&gt;Inputs!$C$74,"Expired",IF(Inputs!$C$68&gt;0,IF(111&lt;Inputs!$C$68,"Paying",IF(111&lt;Inputs!$C$68+Inputs!$C$85,"Default","Re-Lease")),"Paying"))</f>
        <v>Paying</v>
      </c>
      <c r="E114" s="30">
        <f>IF(D114="Expired",0,IF(D114="Default",0,IF(D114="Re-Lease",Inputs!$C$71*Inputs!$C$86,Inputs!$C$73)))</f>
        <v>561600</v>
      </c>
      <c r="F114" s="30">
        <f>(Inputs!$C$82*(1+Inputs!$C$83)^9)/12+IF(111=Inputs!$C$68,Inputs!$C$69/12,0)</f>
        <v>107194.07158717461</v>
      </c>
      <c r="G114" s="30">
        <f>IF(D114="Expired",0,(IF(Inputs!$C$5=1,(Inputs!C38+Inputs!C39)/12,(Inputs!F38+Inputs!F39)/12)*(1+Inputs!$C$83)^9))</f>
        <v>65565.305922252432</v>
      </c>
      <c r="H114" s="30">
        <f t="shared" si="9"/>
        <v>388840.62249057298</v>
      </c>
      <c r="I114" s="38">
        <f>'Debt Schedule'!I123</f>
        <v>536541.90098659589</v>
      </c>
      <c r="J114" s="30">
        <f t="shared" si="10"/>
        <v>-147701.27849602292</v>
      </c>
      <c r="K114" s="39">
        <f t="shared" si="11"/>
        <v>0.72471622770853672</v>
      </c>
      <c r="L114" s="30">
        <f>SUM($J$4:J114)</f>
        <v>-14261330.346565433</v>
      </c>
    </row>
    <row r="115" spans="2:12" x14ac:dyDescent="0.3">
      <c r="B115" s="32">
        <v>112</v>
      </c>
      <c r="C115" s="33">
        <f>EDATE(DATE(2024,1,1),111)</f>
        <v>48670</v>
      </c>
      <c r="D115" s="40" t="str">
        <f>IF(112&gt;Inputs!$C$74,"Expired",IF(Inputs!$C$68&gt;0,IF(112&lt;Inputs!$C$68,"Paying",IF(112&lt;Inputs!$C$68+Inputs!$C$85,"Default","Re-Lease")),"Paying"))</f>
        <v>Paying</v>
      </c>
      <c r="E115" s="34">
        <f>IF(D115="Expired",0,IF(D115="Default",0,IF(D115="Re-Lease",Inputs!$C$71*Inputs!$C$86,Inputs!$C$73)))</f>
        <v>561600</v>
      </c>
      <c r="F115" s="34">
        <f>(Inputs!$C$82*(1+Inputs!$C$83)^9)/12+IF(112=Inputs!$C$68,Inputs!$C$69/12,0)</f>
        <v>107194.07158717461</v>
      </c>
      <c r="G115" s="34">
        <f>IF(D115="Expired",0,(IF(Inputs!$C$5=1,(Inputs!C38+Inputs!C39)/12,(Inputs!F38+Inputs!F39)/12)*(1+Inputs!$C$83)^9))</f>
        <v>65565.305922252432</v>
      </c>
      <c r="H115" s="34">
        <f t="shared" si="9"/>
        <v>388840.62249057298</v>
      </c>
      <c r="I115" s="41">
        <f>'Debt Schedule'!I124</f>
        <v>536541.90098659589</v>
      </c>
      <c r="J115" s="34">
        <f t="shared" si="10"/>
        <v>-147701.27849602292</v>
      </c>
      <c r="K115" s="42">
        <f t="shared" si="11"/>
        <v>0.72471622770853672</v>
      </c>
      <c r="L115" s="34">
        <f>SUM($J$4:J115)</f>
        <v>-14409031.625061456</v>
      </c>
    </row>
    <row r="116" spans="2:12" x14ac:dyDescent="0.3">
      <c r="B116" s="28">
        <v>113</v>
      </c>
      <c r="C116" s="29">
        <f>EDATE(DATE(2024,1,1),112)</f>
        <v>48700</v>
      </c>
      <c r="D116" s="37" t="str">
        <f>IF(113&gt;Inputs!$C$74,"Expired",IF(Inputs!$C$68&gt;0,IF(113&lt;Inputs!$C$68,"Paying",IF(113&lt;Inputs!$C$68+Inputs!$C$85,"Default","Re-Lease")),"Paying"))</f>
        <v>Paying</v>
      </c>
      <c r="E116" s="30">
        <f>IF(D116="Expired",0,IF(D116="Default",0,IF(D116="Re-Lease",Inputs!$C$71*Inputs!$C$86,Inputs!$C$73)))</f>
        <v>561600</v>
      </c>
      <c r="F116" s="30">
        <f>(Inputs!$C$82*(1+Inputs!$C$83)^9)/12+IF(113=Inputs!$C$68,Inputs!$C$69/12,0)</f>
        <v>107194.07158717461</v>
      </c>
      <c r="G116" s="30">
        <f>IF(D116="Expired",0,(IF(Inputs!$C$5=1,(Inputs!C38+Inputs!C39)/12,(Inputs!F38+Inputs!F39)/12)*(1+Inputs!$C$83)^9))</f>
        <v>65565.305922252432</v>
      </c>
      <c r="H116" s="30">
        <f t="shared" si="9"/>
        <v>388840.62249057298</v>
      </c>
      <c r="I116" s="38">
        <f>'Debt Schedule'!I125</f>
        <v>536541.90098659589</v>
      </c>
      <c r="J116" s="30">
        <f t="shared" si="10"/>
        <v>-147701.27849602292</v>
      </c>
      <c r="K116" s="39">
        <f t="shared" si="11"/>
        <v>0.72471622770853672</v>
      </c>
      <c r="L116" s="30">
        <f>SUM($J$4:J116)</f>
        <v>-14556732.903557479</v>
      </c>
    </row>
    <row r="117" spans="2:12" x14ac:dyDescent="0.3">
      <c r="B117" s="32">
        <v>114</v>
      </c>
      <c r="C117" s="33">
        <f>EDATE(DATE(2024,1,1),113)</f>
        <v>48731</v>
      </c>
      <c r="D117" s="40" t="str">
        <f>IF(114&gt;Inputs!$C$74,"Expired",IF(Inputs!$C$68&gt;0,IF(114&lt;Inputs!$C$68,"Paying",IF(114&lt;Inputs!$C$68+Inputs!$C$85,"Default","Re-Lease")),"Paying"))</f>
        <v>Paying</v>
      </c>
      <c r="E117" s="34">
        <f>IF(D117="Expired",0,IF(D117="Default",0,IF(D117="Re-Lease",Inputs!$C$71*Inputs!$C$86,Inputs!$C$73)))</f>
        <v>561600</v>
      </c>
      <c r="F117" s="34">
        <f>(Inputs!$C$82*(1+Inputs!$C$83)^9)/12+IF(114=Inputs!$C$68,Inputs!$C$69/12,0)</f>
        <v>107194.07158717461</v>
      </c>
      <c r="G117" s="34">
        <f>IF(D117="Expired",0,(IF(Inputs!$C$5=1,(Inputs!C38+Inputs!C39)/12,(Inputs!F38+Inputs!F39)/12)*(1+Inputs!$C$83)^9))</f>
        <v>65565.305922252432</v>
      </c>
      <c r="H117" s="34">
        <f t="shared" si="9"/>
        <v>388840.62249057298</v>
      </c>
      <c r="I117" s="41">
        <f>'Debt Schedule'!I126</f>
        <v>536541.90098659589</v>
      </c>
      <c r="J117" s="34">
        <f t="shared" si="10"/>
        <v>-147701.27849602292</v>
      </c>
      <c r="K117" s="42">
        <f t="shared" si="11"/>
        <v>0.72471622770853672</v>
      </c>
      <c r="L117" s="34">
        <f>SUM($J$4:J117)</f>
        <v>-14704434.182053503</v>
      </c>
    </row>
    <row r="118" spans="2:12" x14ac:dyDescent="0.3">
      <c r="B118" s="28">
        <v>115</v>
      </c>
      <c r="C118" s="29">
        <f>EDATE(DATE(2024,1,1),114)</f>
        <v>48761</v>
      </c>
      <c r="D118" s="37" t="str">
        <f>IF(115&gt;Inputs!$C$74,"Expired",IF(Inputs!$C$68&gt;0,IF(115&lt;Inputs!$C$68,"Paying",IF(115&lt;Inputs!$C$68+Inputs!$C$85,"Default","Re-Lease")),"Paying"))</f>
        <v>Paying</v>
      </c>
      <c r="E118" s="30">
        <f>IF(D118="Expired",0,IF(D118="Default",0,IF(D118="Re-Lease",Inputs!$C$71*Inputs!$C$86,Inputs!$C$73)))</f>
        <v>561600</v>
      </c>
      <c r="F118" s="30">
        <f>(Inputs!$C$82*(1+Inputs!$C$83)^9)/12+IF(115=Inputs!$C$68,Inputs!$C$69/12,0)</f>
        <v>107194.07158717461</v>
      </c>
      <c r="G118" s="30">
        <f>IF(D118="Expired",0,(IF(Inputs!$C$5=1,(Inputs!C38+Inputs!C39)/12,(Inputs!F38+Inputs!F39)/12)*(1+Inputs!$C$83)^9))</f>
        <v>65565.305922252432</v>
      </c>
      <c r="H118" s="30">
        <f t="shared" si="9"/>
        <v>388840.62249057298</v>
      </c>
      <c r="I118" s="38">
        <f>'Debt Schedule'!I127</f>
        <v>536541.90098659589</v>
      </c>
      <c r="J118" s="30">
        <f t="shared" si="10"/>
        <v>-147701.27849602292</v>
      </c>
      <c r="K118" s="39">
        <f t="shared" si="11"/>
        <v>0.72471622770853672</v>
      </c>
      <c r="L118" s="30">
        <f>SUM($J$4:J118)</f>
        <v>-14852135.460549526</v>
      </c>
    </row>
    <row r="119" spans="2:12" x14ac:dyDescent="0.3">
      <c r="B119" s="32">
        <v>116</v>
      </c>
      <c r="C119" s="33">
        <f>EDATE(DATE(2024,1,1),115)</f>
        <v>48792</v>
      </c>
      <c r="D119" s="40" t="str">
        <f>IF(116&gt;Inputs!$C$74,"Expired",IF(Inputs!$C$68&gt;0,IF(116&lt;Inputs!$C$68,"Paying",IF(116&lt;Inputs!$C$68+Inputs!$C$85,"Default","Re-Lease")),"Paying"))</f>
        <v>Paying</v>
      </c>
      <c r="E119" s="34">
        <f>IF(D119="Expired",0,IF(D119="Default",0,IF(D119="Re-Lease",Inputs!$C$71*Inputs!$C$86,Inputs!$C$73)))</f>
        <v>561600</v>
      </c>
      <c r="F119" s="34">
        <f>(Inputs!$C$82*(1+Inputs!$C$83)^9)/12+IF(116=Inputs!$C$68,Inputs!$C$69/12,0)</f>
        <v>107194.07158717461</v>
      </c>
      <c r="G119" s="34">
        <f>IF(D119="Expired",0,(IF(Inputs!$C$5=1,(Inputs!C38+Inputs!C39)/12,(Inputs!F38+Inputs!F39)/12)*(1+Inputs!$C$83)^9))</f>
        <v>65565.305922252432</v>
      </c>
      <c r="H119" s="34">
        <f t="shared" si="9"/>
        <v>388840.62249057298</v>
      </c>
      <c r="I119" s="41">
        <f>'Debt Schedule'!I128</f>
        <v>536541.90098659589</v>
      </c>
      <c r="J119" s="34">
        <f t="shared" si="10"/>
        <v>-147701.27849602292</v>
      </c>
      <c r="K119" s="42">
        <f t="shared" si="11"/>
        <v>0.72471622770853672</v>
      </c>
      <c r="L119" s="34">
        <f>SUM($J$4:J119)</f>
        <v>-14999836.739045549</v>
      </c>
    </row>
    <row r="120" spans="2:12" x14ac:dyDescent="0.3">
      <c r="B120" s="28">
        <v>117</v>
      </c>
      <c r="C120" s="29">
        <f>EDATE(DATE(2024,1,1),116)</f>
        <v>48823</v>
      </c>
      <c r="D120" s="37" t="str">
        <f>IF(117&gt;Inputs!$C$74,"Expired",IF(Inputs!$C$68&gt;0,IF(117&lt;Inputs!$C$68,"Paying",IF(117&lt;Inputs!$C$68+Inputs!$C$85,"Default","Re-Lease")),"Paying"))</f>
        <v>Paying</v>
      </c>
      <c r="E120" s="30">
        <f>IF(D120="Expired",0,IF(D120="Default",0,IF(D120="Re-Lease",Inputs!$C$71*Inputs!$C$86,Inputs!$C$73)))</f>
        <v>561600</v>
      </c>
      <c r="F120" s="30">
        <f>(Inputs!$C$82*(1+Inputs!$C$83)^9)/12+IF(117=Inputs!$C$68,Inputs!$C$69/12,0)</f>
        <v>107194.07158717461</v>
      </c>
      <c r="G120" s="30">
        <f>IF(D120="Expired",0,(IF(Inputs!$C$5=1,(Inputs!C38+Inputs!C39)/12,(Inputs!F38+Inputs!F39)/12)*(1+Inputs!$C$83)^9))</f>
        <v>65565.305922252432</v>
      </c>
      <c r="H120" s="30">
        <f t="shared" si="9"/>
        <v>388840.62249057298</v>
      </c>
      <c r="I120" s="38">
        <f>'Debt Schedule'!I129</f>
        <v>536541.90098659589</v>
      </c>
      <c r="J120" s="30">
        <f t="shared" si="10"/>
        <v>-147701.27849602292</v>
      </c>
      <c r="K120" s="39">
        <f t="shared" si="11"/>
        <v>0.72471622770853672</v>
      </c>
      <c r="L120" s="30">
        <f>SUM($J$4:J120)</f>
        <v>-15147538.017541572</v>
      </c>
    </row>
    <row r="121" spans="2:12" x14ac:dyDescent="0.3">
      <c r="B121" s="32">
        <v>118</v>
      </c>
      <c r="C121" s="33">
        <f>EDATE(DATE(2024,1,1),117)</f>
        <v>48853</v>
      </c>
      <c r="D121" s="40" t="str">
        <f>IF(118&gt;Inputs!$C$74,"Expired",IF(Inputs!$C$68&gt;0,IF(118&lt;Inputs!$C$68,"Paying",IF(118&lt;Inputs!$C$68+Inputs!$C$85,"Default","Re-Lease")),"Paying"))</f>
        <v>Paying</v>
      </c>
      <c r="E121" s="34">
        <f>IF(D121="Expired",0,IF(D121="Default",0,IF(D121="Re-Lease",Inputs!$C$71*Inputs!$C$86,Inputs!$C$73)))</f>
        <v>561600</v>
      </c>
      <c r="F121" s="34">
        <f>(Inputs!$C$82*(1+Inputs!$C$83)^9)/12+IF(118=Inputs!$C$68,Inputs!$C$69/12,0)</f>
        <v>107194.07158717461</v>
      </c>
      <c r="G121" s="34">
        <f>IF(D121="Expired",0,(IF(Inputs!$C$5=1,(Inputs!C38+Inputs!C39)/12,(Inputs!F38+Inputs!F39)/12)*(1+Inputs!$C$83)^9))</f>
        <v>65565.305922252432</v>
      </c>
      <c r="H121" s="34">
        <f t="shared" si="9"/>
        <v>388840.62249057298</v>
      </c>
      <c r="I121" s="41">
        <f>'Debt Schedule'!I130</f>
        <v>536541.90098659589</v>
      </c>
      <c r="J121" s="34">
        <f t="shared" si="10"/>
        <v>-147701.27849602292</v>
      </c>
      <c r="K121" s="42">
        <f t="shared" si="11"/>
        <v>0.72471622770853672</v>
      </c>
      <c r="L121" s="34">
        <f>SUM($J$4:J121)</f>
        <v>-15295239.296037596</v>
      </c>
    </row>
    <row r="122" spans="2:12" x14ac:dyDescent="0.3">
      <c r="B122" s="28">
        <v>119</v>
      </c>
      <c r="C122" s="29">
        <f>EDATE(DATE(2024,1,1),118)</f>
        <v>48884</v>
      </c>
      <c r="D122" s="37" t="str">
        <f>IF(119&gt;Inputs!$C$74,"Expired",IF(Inputs!$C$68&gt;0,IF(119&lt;Inputs!$C$68,"Paying",IF(119&lt;Inputs!$C$68+Inputs!$C$85,"Default","Re-Lease")),"Paying"))</f>
        <v>Paying</v>
      </c>
      <c r="E122" s="30">
        <f>IF(D122="Expired",0,IF(D122="Default",0,IF(D122="Re-Lease",Inputs!$C$71*Inputs!$C$86,Inputs!$C$73)))</f>
        <v>561600</v>
      </c>
      <c r="F122" s="30">
        <f>(Inputs!$C$82*(1+Inputs!$C$83)^9)/12+IF(119=Inputs!$C$68,Inputs!$C$69/12,0)</f>
        <v>107194.07158717461</v>
      </c>
      <c r="G122" s="30">
        <f>IF(D122="Expired",0,(IF(Inputs!$C$5=1,(Inputs!C38+Inputs!C39)/12,(Inputs!F38+Inputs!F39)/12)*(1+Inputs!$C$83)^9))</f>
        <v>65565.305922252432</v>
      </c>
      <c r="H122" s="30">
        <f t="shared" si="9"/>
        <v>388840.62249057298</v>
      </c>
      <c r="I122" s="38">
        <f>'Debt Schedule'!I131</f>
        <v>536541.90098659589</v>
      </c>
      <c r="J122" s="30">
        <f t="shared" si="10"/>
        <v>-147701.27849602292</v>
      </c>
      <c r="K122" s="39">
        <f t="shared" si="11"/>
        <v>0.72471622770853672</v>
      </c>
      <c r="L122" s="30">
        <f>SUM($J$4:J122)</f>
        <v>-15442940.574533619</v>
      </c>
    </row>
    <row r="123" spans="2:12" x14ac:dyDescent="0.3">
      <c r="B123" s="32">
        <v>120</v>
      </c>
      <c r="C123" s="33">
        <f>EDATE(DATE(2024,1,1),119)</f>
        <v>48914</v>
      </c>
      <c r="D123" s="40" t="str">
        <f>IF(120&gt;Inputs!$C$74,"Expired",IF(Inputs!$C$68&gt;0,IF(120&lt;Inputs!$C$68,"Paying",IF(120&lt;Inputs!$C$68+Inputs!$C$85,"Default","Re-Lease")),"Paying"))</f>
        <v>Paying</v>
      </c>
      <c r="E123" s="34">
        <f>IF(D123="Expired",0,IF(D123="Default",0,IF(D123="Re-Lease",Inputs!$C$71*Inputs!$C$86,Inputs!$C$73)))</f>
        <v>561600</v>
      </c>
      <c r="F123" s="34">
        <f>(Inputs!$C$82*(1+Inputs!$C$83)^9)/12+IF(120=Inputs!$C$68,Inputs!$C$69/12,0)</f>
        <v>107194.07158717461</v>
      </c>
      <c r="G123" s="34">
        <f>IF(D123="Expired",0,(IF(Inputs!$C$5=1,(Inputs!C38+Inputs!C39)/12,(Inputs!F38+Inputs!F39)/12)*(1+Inputs!$C$83)^9))</f>
        <v>65565.305922252432</v>
      </c>
      <c r="H123" s="34">
        <f t="shared" si="9"/>
        <v>388840.62249057298</v>
      </c>
      <c r="I123" s="41">
        <f>'Debt Schedule'!I132</f>
        <v>11336541.900986595</v>
      </c>
      <c r="J123" s="34">
        <f t="shared" si="10"/>
        <v>-10947701.278496021</v>
      </c>
      <c r="K123" s="42">
        <f t="shared" si="11"/>
        <v>3.429975612375525E-2</v>
      </c>
      <c r="L123" s="34">
        <f>SUM($J$4:J123)</f>
        <v>-26390641.853029639</v>
      </c>
    </row>
    <row r="124" spans="2:12" x14ac:dyDescent="0.3">
      <c r="B124" s="28">
        <v>121</v>
      </c>
      <c r="C124" s="29">
        <f>EDATE(DATE(2024,1,1),120)</f>
        <v>48945</v>
      </c>
      <c r="D124" s="37" t="str">
        <f>IF(121&gt;Inputs!$C$74,"Expired",IF(Inputs!$C$68&gt;0,IF(121&lt;Inputs!$C$68,"Paying",IF(121&lt;Inputs!$C$68+Inputs!$C$85,"Default","Re-Lease")),"Paying"))</f>
        <v>Expired</v>
      </c>
      <c r="E124" s="30">
        <f>IF(D124="Expired",0,IF(D124="Default",0,IF(D124="Re-Lease",Inputs!$C$71*Inputs!$C$86,Inputs!$C$73)))</f>
        <v>0</v>
      </c>
      <c r="F124" s="30">
        <f>(Inputs!$C$82*(1+Inputs!$C$83)^10)/12+IF(121=Inputs!$C$68,Inputs!$C$69/12,0)</f>
        <v>109873.92337685399</v>
      </c>
      <c r="G124" s="30">
        <f>IF(D124="Expired",0,(IF(Inputs!$C$5=1,(Inputs!C38+Inputs!C39)/12,(Inputs!F38+Inputs!F39)/12)*(1+Inputs!$C$83)^10))</f>
        <v>0</v>
      </c>
      <c r="H124" s="30">
        <f t="shared" si="9"/>
        <v>-109873.92337685399</v>
      </c>
      <c r="I124" s="38">
        <f>'Debt Schedule'!I133</f>
        <v>0</v>
      </c>
      <c r="J124" s="30">
        <f t="shared" si="10"/>
        <v>-109873.92337685399</v>
      </c>
      <c r="K124" s="39" t="str">
        <f t="shared" si="11"/>
        <v>-</v>
      </c>
      <c r="L124" s="30">
        <f>SUM($J$4:J124)</f>
        <v>-26500515.776406493</v>
      </c>
    </row>
    <row r="125" spans="2:12" x14ac:dyDescent="0.3">
      <c r="B125" s="32">
        <v>122</v>
      </c>
      <c r="C125" s="33">
        <f>EDATE(DATE(2024,1,1),121)</f>
        <v>48976</v>
      </c>
      <c r="D125" s="40" t="str">
        <f>IF(122&gt;Inputs!$C$74,"Expired",IF(Inputs!$C$68&gt;0,IF(122&lt;Inputs!$C$68,"Paying",IF(122&lt;Inputs!$C$68+Inputs!$C$85,"Default","Re-Lease")),"Paying"))</f>
        <v>Expired</v>
      </c>
      <c r="E125" s="34">
        <f>IF(D125="Expired",0,IF(D125="Default",0,IF(D125="Re-Lease",Inputs!$C$71*Inputs!$C$86,Inputs!$C$73)))</f>
        <v>0</v>
      </c>
      <c r="F125" s="34">
        <f>(Inputs!$C$82*(1+Inputs!$C$83)^10)/12+IF(122=Inputs!$C$68,Inputs!$C$69/12,0)</f>
        <v>109873.92337685399</v>
      </c>
      <c r="G125" s="34">
        <f>IF(D125="Expired",0,(IF(Inputs!$C$5=1,(Inputs!C38+Inputs!C39)/12,(Inputs!F38+Inputs!F39)/12)*(1+Inputs!$C$83)^10))</f>
        <v>0</v>
      </c>
      <c r="H125" s="34">
        <f t="shared" si="9"/>
        <v>-109873.92337685399</v>
      </c>
      <c r="I125" s="41">
        <f>'Debt Schedule'!I134</f>
        <v>0</v>
      </c>
      <c r="J125" s="34">
        <f t="shared" si="10"/>
        <v>-109873.92337685399</v>
      </c>
      <c r="K125" s="42" t="str">
        <f t="shared" si="11"/>
        <v>-</v>
      </c>
      <c r="L125" s="34">
        <f>SUM($J$4:J125)</f>
        <v>-26610389.699783348</v>
      </c>
    </row>
    <row r="126" spans="2:12" x14ac:dyDescent="0.3">
      <c r="B126" s="28">
        <v>123</v>
      </c>
      <c r="C126" s="29">
        <f>EDATE(DATE(2024,1,1),122)</f>
        <v>49004</v>
      </c>
      <c r="D126" s="37" t="str">
        <f>IF(123&gt;Inputs!$C$74,"Expired",IF(Inputs!$C$68&gt;0,IF(123&lt;Inputs!$C$68,"Paying",IF(123&lt;Inputs!$C$68+Inputs!$C$85,"Default","Re-Lease")),"Paying"))</f>
        <v>Expired</v>
      </c>
      <c r="E126" s="30">
        <f>IF(D126="Expired",0,IF(D126="Default",0,IF(D126="Re-Lease",Inputs!$C$71*Inputs!$C$86,Inputs!$C$73)))</f>
        <v>0</v>
      </c>
      <c r="F126" s="30">
        <f>(Inputs!$C$82*(1+Inputs!$C$83)^10)/12+IF(123=Inputs!$C$68,Inputs!$C$69/12,0)</f>
        <v>109873.92337685399</v>
      </c>
      <c r="G126" s="30">
        <f>IF(D126="Expired",0,(IF(Inputs!$C$5=1,(Inputs!C38+Inputs!C39)/12,(Inputs!F38+Inputs!F39)/12)*(1+Inputs!$C$83)^10))</f>
        <v>0</v>
      </c>
      <c r="H126" s="30">
        <f t="shared" si="9"/>
        <v>-109873.92337685399</v>
      </c>
      <c r="I126" s="38">
        <f>'Debt Schedule'!I135</f>
        <v>0</v>
      </c>
      <c r="J126" s="30">
        <f t="shared" si="10"/>
        <v>-109873.92337685399</v>
      </c>
      <c r="K126" s="39" t="str">
        <f t="shared" si="11"/>
        <v>-</v>
      </c>
      <c r="L126" s="30">
        <f>SUM($J$4:J126)</f>
        <v>-26720263.623160202</v>
      </c>
    </row>
    <row r="127" spans="2:12" x14ac:dyDescent="0.3">
      <c r="B127" s="32">
        <v>124</v>
      </c>
      <c r="C127" s="33">
        <f>EDATE(DATE(2024,1,1),123)</f>
        <v>49035</v>
      </c>
      <c r="D127" s="40" t="str">
        <f>IF(124&gt;Inputs!$C$74,"Expired",IF(Inputs!$C$68&gt;0,IF(124&lt;Inputs!$C$68,"Paying",IF(124&lt;Inputs!$C$68+Inputs!$C$85,"Default","Re-Lease")),"Paying"))</f>
        <v>Expired</v>
      </c>
      <c r="E127" s="34">
        <f>IF(D127="Expired",0,IF(D127="Default",0,IF(D127="Re-Lease",Inputs!$C$71*Inputs!$C$86,Inputs!$C$73)))</f>
        <v>0</v>
      </c>
      <c r="F127" s="34">
        <f>(Inputs!$C$82*(1+Inputs!$C$83)^10)/12+IF(124=Inputs!$C$68,Inputs!$C$69/12,0)</f>
        <v>109873.92337685399</v>
      </c>
      <c r="G127" s="34">
        <f>IF(D127="Expired",0,(IF(Inputs!$C$5=1,(Inputs!C38+Inputs!C39)/12,(Inputs!F38+Inputs!F39)/12)*(1+Inputs!$C$83)^10))</f>
        <v>0</v>
      </c>
      <c r="H127" s="34">
        <f t="shared" si="9"/>
        <v>-109873.92337685399</v>
      </c>
      <c r="I127" s="41">
        <f>'Debt Schedule'!I136</f>
        <v>0</v>
      </c>
      <c r="J127" s="34">
        <f t="shared" si="10"/>
        <v>-109873.92337685399</v>
      </c>
      <c r="K127" s="42" t="str">
        <f t="shared" si="11"/>
        <v>-</v>
      </c>
      <c r="L127" s="34">
        <f>SUM($J$4:J127)</f>
        <v>-26830137.546537057</v>
      </c>
    </row>
    <row r="128" spans="2:12" x14ac:dyDescent="0.3">
      <c r="B128" s="28">
        <v>125</v>
      </c>
      <c r="C128" s="29">
        <f>EDATE(DATE(2024,1,1),124)</f>
        <v>49065</v>
      </c>
      <c r="D128" s="37" t="str">
        <f>IF(125&gt;Inputs!$C$74,"Expired",IF(Inputs!$C$68&gt;0,IF(125&lt;Inputs!$C$68,"Paying",IF(125&lt;Inputs!$C$68+Inputs!$C$85,"Default","Re-Lease")),"Paying"))</f>
        <v>Expired</v>
      </c>
      <c r="E128" s="30">
        <f>IF(D128="Expired",0,IF(D128="Default",0,IF(D128="Re-Lease",Inputs!$C$71*Inputs!$C$86,Inputs!$C$73)))</f>
        <v>0</v>
      </c>
      <c r="F128" s="30">
        <f>(Inputs!$C$82*(1+Inputs!$C$83)^10)/12+IF(125=Inputs!$C$68,Inputs!$C$69/12,0)</f>
        <v>109873.92337685399</v>
      </c>
      <c r="G128" s="30">
        <f>IF(D128="Expired",0,(IF(Inputs!$C$5=1,(Inputs!C38+Inputs!C39)/12,(Inputs!F38+Inputs!F39)/12)*(1+Inputs!$C$83)^10))</f>
        <v>0</v>
      </c>
      <c r="H128" s="30">
        <f t="shared" si="9"/>
        <v>-109873.92337685399</v>
      </c>
      <c r="I128" s="38">
        <f>'Debt Schedule'!I137</f>
        <v>0</v>
      </c>
      <c r="J128" s="30">
        <f t="shared" si="10"/>
        <v>-109873.92337685399</v>
      </c>
      <c r="K128" s="39" t="str">
        <f t="shared" si="11"/>
        <v>-</v>
      </c>
      <c r="L128" s="30">
        <f>SUM($J$4:J128)</f>
        <v>-26940011.469913911</v>
      </c>
    </row>
    <row r="129" spans="2:12" x14ac:dyDescent="0.3">
      <c r="B129" s="32">
        <v>126</v>
      </c>
      <c r="C129" s="33">
        <f>EDATE(DATE(2024,1,1),125)</f>
        <v>49096</v>
      </c>
      <c r="D129" s="40" t="str">
        <f>IF(126&gt;Inputs!$C$74,"Expired",IF(Inputs!$C$68&gt;0,IF(126&lt;Inputs!$C$68,"Paying",IF(126&lt;Inputs!$C$68+Inputs!$C$85,"Default","Re-Lease")),"Paying"))</f>
        <v>Expired</v>
      </c>
      <c r="E129" s="34">
        <f>IF(D129="Expired",0,IF(D129="Default",0,IF(D129="Re-Lease",Inputs!$C$71*Inputs!$C$86,Inputs!$C$73)))</f>
        <v>0</v>
      </c>
      <c r="F129" s="34">
        <f>(Inputs!$C$82*(1+Inputs!$C$83)^10)/12+IF(126=Inputs!$C$68,Inputs!$C$69/12,0)</f>
        <v>109873.92337685399</v>
      </c>
      <c r="G129" s="34">
        <f>IF(D129="Expired",0,(IF(Inputs!$C$5=1,(Inputs!C38+Inputs!C39)/12,(Inputs!F38+Inputs!F39)/12)*(1+Inputs!$C$83)^10))</f>
        <v>0</v>
      </c>
      <c r="H129" s="34">
        <f t="shared" si="9"/>
        <v>-109873.92337685399</v>
      </c>
      <c r="I129" s="41">
        <f>'Debt Schedule'!I138</f>
        <v>0</v>
      </c>
      <c r="J129" s="34">
        <f t="shared" si="10"/>
        <v>-109873.92337685399</v>
      </c>
      <c r="K129" s="42" t="str">
        <f t="shared" si="11"/>
        <v>-</v>
      </c>
      <c r="L129" s="34">
        <f>SUM($J$4:J129)</f>
        <v>-27049885.393290766</v>
      </c>
    </row>
    <row r="130" spans="2:12" x14ac:dyDescent="0.3">
      <c r="B130" s="28">
        <v>127</v>
      </c>
      <c r="C130" s="29">
        <f>EDATE(DATE(2024,1,1),126)</f>
        <v>49126</v>
      </c>
      <c r="D130" s="37" t="str">
        <f>IF(127&gt;Inputs!$C$74,"Expired",IF(Inputs!$C$68&gt;0,IF(127&lt;Inputs!$C$68,"Paying",IF(127&lt;Inputs!$C$68+Inputs!$C$85,"Default","Re-Lease")),"Paying"))</f>
        <v>Expired</v>
      </c>
      <c r="E130" s="30">
        <f>IF(D130="Expired",0,IF(D130="Default",0,IF(D130="Re-Lease",Inputs!$C$71*Inputs!$C$86,Inputs!$C$73)))</f>
        <v>0</v>
      </c>
      <c r="F130" s="30">
        <f>(Inputs!$C$82*(1+Inputs!$C$83)^10)/12+IF(127=Inputs!$C$68,Inputs!$C$69/12,0)</f>
        <v>109873.92337685399</v>
      </c>
      <c r="G130" s="30">
        <f>IF(D130="Expired",0,(IF(Inputs!$C$5=1,(Inputs!C38+Inputs!C39)/12,(Inputs!F38+Inputs!F39)/12)*(1+Inputs!$C$83)^10))</f>
        <v>0</v>
      </c>
      <c r="H130" s="30">
        <f t="shared" si="9"/>
        <v>-109873.92337685399</v>
      </c>
      <c r="I130" s="38">
        <f>'Debt Schedule'!I139</f>
        <v>0</v>
      </c>
      <c r="J130" s="30">
        <f t="shared" si="10"/>
        <v>-109873.92337685399</v>
      </c>
      <c r="K130" s="39" t="str">
        <f t="shared" si="11"/>
        <v>-</v>
      </c>
      <c r="L130" s="30">
        <f>SUM($J$4:J130)</f>
        <v>-27159759.31666762</v>
      </c>
    </row>
    <row r="131" spans="2:12" x14ac:dyDescent="0.3">
      <c r="B131" s="32">
        <v>128</v>
      </c>
      <c r="C131" s="33">
        <f>EDATE(DATE(2024,1,1),127)</f>
        <v>49157</v>
      </c>
      <c r="D131" s="40" t="str">
        <f>IF(128&gt;Inputs!$C$74,"Expired",IF(Inputs!$C$68&gt;0,IF(128&lt;Inputs!$C$68,"Paying",IF(128&lt;Inputs!$C$68+Inputs!$C$85,"Default","Re-Lease")),"Paying"))</f>
        <v>Expired</v>
      </c>
      <c r="E131" s="34">
        <f>IF(D131="Expired",0,IF(D131="Default",0,IF(D131="Re-Lease",Inputs!$C$71*Inputs!$C$86,Inputs!$C$73)))</f>
        <v>0</v>
      </c>
      <c r="F131" s="34">
        <f>(Inputs!$C$82*(1+Inputs!$C$83)^10)/12+IF(128=Inputs!$C$68,Inputs!$C$69/12,0)</f>
        <v>109873.92337685399</v>
      </c>
      <c r="G131" s="34">
        <f>IF(D131="Expired",0,(IF(Inputs!$C$5=1,(Inputs!C38+Inputs!C39)/12,(Inputs!F38+Inputs!F39)/12)*(1+Inputs!$C$83)^10))</f>
        <v>0</v>
      </c>
      <c r="H131" s="34">
        <f t="shared" si="9"/>
        <v>-109873.92337685399</v>
      </c>
      <c r="I131" s="41">
        <f>'Debt Schedule'!I140</f>
        <v>0</v>
      </c>
      <c r="J131" s="34">
        <f t="shared" si="10"/>
        <v>-109873.92337685399</v>
      </c>
      <c r="K131" s="42" t="str">
        <f t="shared" si="11"/>
        <v>-</v>
      </c>
      <c r="L131" s="34">
        <f>SUM($J$4:J131)</f>
        <v>-27269633.240044475</v>
      </c>
    </row>
    <row r="132" spans="2:12" x14ac:dyDescent="0.3">
      <c r="B132" s="28">
        <v>129</v>
      </c>
      <c r="C132" s="29">
        <f>EDATE(DATE(2024,1,1),128)</f>
        <v>49188</v>
      </c>
      <c r="D132" s="37" t="str">
        <f>IF(129&gt;Inputs!$C$74,"Expired",IF(Inputs!$C$68&gt;0,IF(129&lt;Inputs!$C$68,"Paying",IF(129&lt;Inputs!$C$68+Inputs!$C$85,"Default","Re-Lease")),"Paying"))</f>
        <v>Expired</v>
      </c>
      <c r="E132" s="30">
        <f>IF(D132="Expired",0,IF(D132="Default",0,IF(D132="Re-Lease",Inputs!$C$71*Inputs!$C$86,Inputs!$C$73)))</f>
        <v>0</v>
      </c>
      <c r="F132" s="30">
        <f>(Inputs!$C$82*(1+Inputs!$C$83)^10)/12+IF(129=Inputs!$C$68,Inputs!$C$69/12,0)</f>
        <v>109873.92337685399</v>
      </c>
      <c r="G132" s="30">
        <f>IF(D132="Expired",0,(IF(Inputs!$C$5=1,(Inputs!C38+Inputs!C39)/12,(Inputs!F38+Inputs!F39)/12)*(1+Inputs!$C$83)^10))</f>
        <v>0</v>
      </c>
      <c r="H132" s="30">
        <f t="shared" ref="H132:H147" si="12">E132-F132-G132</f>
        <v>-109873.92337685399</v>
      </c>
      <c r="I132" s="38">
        <f>'Debt Schedule'!I141</f>
        <v>0</v>
      </c>
      <c r="J132" s="30">
        <f t="shared" ref="J132:J147" si="13">H132-I132</f>
        <v>-109873.92337685399</v>
      </c>
      <c r="K132" s="39" t="str">
        <f t="shared" ref="K132:K147" si="14">IFERROR(H132/I132,"-")</f>
        <v>-</v>
      </c>
      <c r="L132" s="30">
        <f>SUM($J$4:J132)</f>
        <v>-27379507.163421329</v>
      </c>
    </row>
    <row r="133" spans="2:12" x14ac:dyDescent="0.3">
      <c r="B133" s="32">
        <v>130</v>
      </c>
      <c r="C133" s="33">
        <f>EDATE(DATE(2024,1,1),129)</f>
        <v>49218</v>
      </c>
      <c r="D133" s="40" t="str">
        <f>IF(130&gt;Inputs!$C$74,"Expired",IF(Inputs!$C$68&gt;0,IF(130&lt;Inputs!$C$68,"Paying",IF(130&lt;Inputs!$C$68+Inputs!$C$85,"Default","Re-Lease")),"Paying"))</f>
        <v>Expired</v>
      </c>
      <c r="E133" s="34">
        <f>IF(D133="Expired",0,IF(D133="Default",0,IF(D133="Re-Lease",Inputs!$C$71*Inputs!$C$86,Inputs!$C$73)))</f>
        <v>0</v>
      </c>
      <c r="F133" s="34">
        <f>(Inputs!$C$82*(1+Inputs!$C$83)^10)/12+IF(130=Inputs!$C$68,Inputs!$C$69/12,0)</f>
        <v>109873.92337685399</v>
      </c>
      <c r="G133" s="34">
        <f>IF(D133="Expired",0,(IF(Inputs!$C$5=1,(Inputs!C38+Inputs!C39)/12,(Inputs!F38+Inputs!F39)/12)*(1+Inputs!$C$83)^10))</f>
        <v>0</v>
      </c>
      <c r="H133" s="34">
        <f t="shared" si="12"/>
        <v>-109873.92337685399</v>
      </c>
      <c r="I133" s="41">
        <f>'Debt Schedule'!I142</f>
        <v>0</v>
      </c>
      <c r="J133" s="34">
        <f t="shared" si="13"/>
        <v>-109873.92337685399</v>
      </c>
      <c r="K133" s="42" t="str">
        <f t="shared" si="14"/>
        <v>-</v>
      </c>
      <c r="L133" s="34">
        <f>SUM($J$4:J133)</f>
        <v>-27489381.086798184</v>
      </c>
    </row>
    <row r="134" spans="2:12" x14ac:dyDescent="0.3">
      <c r="B134" s="28">
        <v>131</v>
      </c>
      <c r="C134" s="29">
        <f>EDATE(DATE(2024,1,1),130)</f>
        <v>49249</v>
      </c>
      <c r="D134" s="37" t="str">
        <f>IF(131&gt;Inputs!$C$74,"Expired",IF(Inputs!$C$68&gt;0,IF(131&lt;Inputs!$C$68,"Paying",IF(131&lt;Inputs!$C$68+Inputs!$C$85,"Default","Re-Lease")),"Paying"))</f>
        <v>Expired</v>
      </c>
      <c r="E134" s="30">
        <f>IF(D134="Expired",0,IF(D134="Default",0,IF(D134="Re-Lease",Inputs!$C$71*Inputs!$C$86,Inputs!$C$73)))</f>
        <v>0</v>
      </c>
      <c r="F134" s="30">
        <f>(Inputs!$C$82*(1+Inputs!$C$83)^10)/12+IF(131=Inputs!$C$68,Inputs!$C$69/12,0)</f>
        <v>109873.92337685399</v>
      </c>
      <c r="G134" s="30">
        <f>IF(D134="Expired",0,(IF(Inputs!$C$5=1,(Inputs!C38+Inputs!C39)/12,(Inputs!F38+Inputs!F39)/12)*(1+Inputs!$C$83)^10))</f>
        <v>0</v>
      </c>
      <c r="H134" s="30">
        <f t="shared" si="12"/>
        <v>-109873.92337685399</v>
      </c>
      <c r="I134" s="38">
        <f>'Debt Schedule'!I143</f>
        <v>0</v>
      </c>
      <c r="J134" s="30">
        <f t="shared" si="13"/>
        <v>-109873.92337685399</v>
      </c>
      <c r="K134" s="39" t="str">
        <f t="shared" si="14"/>
        <v>-</v>
      </c>
      <c r="L134" s="30">
        <f>SUM($J$4:J134)</f>
        <v>-27599255.010175038</v>
      </c>
    </row>
    <row r="135" spans="2:12" x14ac:dyDescent="0.3">
      <c r="B135" s="32">
        <v>132</v>
      </c>
      <c r="C135" s="33">
        <f>EDATE(DATE(2024,1,1),131)</f>
        <v>49279</v>
      </c>
      <c r="D135" s="40" t="str">
        <f>IF(132&gt;Inputs!$C$74,"Expired",IF(Inputs!$C$68&gt;0,IF(132&lt;Inputs!$C$68,"Paying",IF(132&lt;Inputs!$C$68+Inputs!$C$85,"Default","Re-Lease")),"Paying"))</f>
        <v>Expired</v>
      </c>
      <c r="E135" s="34">
        <f>IF(D135="Expired",0,IF(D135="Default",0,IF(D135="Re-Lease",Inputs!$C$71*Inputs!$C$86,Inputs!$C$73)))</f>
        <v>0</v>
      </c>
      <c r="F135" s="34">
        <f>(Inputs!$C$82*(1+Inputs!$C$83)^10)/12+IF(132=Inputs!$C$68,Inputs!$C$69/12,0)</f>
        <v>109873.92337685399</v>
      </c>
      <c r="G135" s="34">
        <f>IF(D135="Expired",0,(IF(Inputs!$C$5=1,(Inputs!C38+Inputs!C39)/12,(Inputs!F38+Inputs!F39)/12)*(1+Inputs!$C$83)^10))</f>
        <v>0</v>
      </c>
      <c r="H135" s="34">
        <f t="shared" si="12"/>
        <v>-109873.92337685399</v>
      </c>
      <c r="I135" s="41">
        <f>'Debt Schedule'!I144</f>
        <v>0</v>
      </c>
      <c r="J135" s="34">
        <f t="shared" si="13"/>
        <v>-109873.92337685399</v>
      </c>
      <c r="K135" s="42" t="str">
        <f t="shared" si="14"/>
        <v>-</v>
      </c>
      <c r="L135" s="34">
        <f>SUM($J$4:J135)</f>
        <v>-27709128.933551893</v>
      </c>
    </row>
    <row r="136" spans="2:12" x14ac:dyDescent="0.3">
      <c r="B136" s="28">
        <v>133</v>
      </c>
      <c r="C136" s="29">
        <f>EDATE(DATE(2024,1,1),132)</f>
        <v>49310</v>
      </c>
      <c r="D136" s="37" t="str">
        <f>IF(133&gt;Inputs!$C$74,"Expired",IF(Inputs!$C$68&gt;0,IF(133&lt;Inputs!$C$68,"Paying",IF(133&lt;Inputs!$C$68+Inputs!$C$85,"Default","Re-Lease")),"Paying"))</f>
        <v>Expired</v>
      </c>
      <c r="E136" s="30">
        <f>IF(D136="Expired",0,IF(D136="Default",0,IF(D136="Re-Lease",Inputs!$C$71*Inputs!$C$86,Inputs!$C$73)))</f>
        <v>0</v>
      </c>
      <c r="F136" s="30">
        <f>(Inputs!$C$82*(1+Inputs!$C$83)^11)/12+IF(133=Inputs!$C$68,Inputs!$C$69/12,0)</f>
        <v>112620.77146127533</v>
      </c>
      <c r="G136" s="30">
        <f>IF(D136="Expired",0,(IF(Inputs!$C$5=1,(Inputs!C38+Inputs!C39)/12,(Inputs!F38+Inputs!F39)/12)*(1+Inputs!$C$83)^11))</f>
        <v>0</v>
      </c>
      <c r="H136" s="30">
        <f t="shared" si="12"/>
        <v>-112620.77146127533</v>
      </c>
      <c r="I136" s="38">
        <f>'Debt Schedule'!I145</f>
        <v>0</v>
      </c>
      <c r="J136" s="30">
        <f t="shared" si="13"/>
        <v>-112620.77146127533</v>
      </c>
      <c r="K136" s="39" t="str">
        <f t="shared" si="14"/>
        <v>-</v>
      </c>
      <c r="L136" s="30">
        <f>SUM($J$4:J136)</f>
        <v>-27821749.705013167</v>
      </c>
    </row>
    <row r="137" spans="2:12" x14ac:dyDescent="0.3">
      <c r="B137" s="32">
        <v>134</v>
      </c>
      <c r="C137" s="33">
        <f>EDATE(DATE(2024,1,1),133)</f>
        <v>49341</v>
      </c>
      <c r="D137" s="40" t="str">
        <f>IF(134&gt;Inputs!$C$74,"Expired",IF(Inputs!$C$68&gt;0,IF(134&lt;Inputs!$C$68,"Paying",IF(134&lt;Inputs!$C$68+Inputs!$C$85,"Default","Re-Lease")),"Paying"))</f>
        <v>Expired</v>
      </c>
      <c r="E137" s="34">
        <f>IF(D137="Expired",0,IF(D137="Default",0,IF(D137="Re-Lease",Inputs!$C$71*Inputs!$C$86,Inputs!$C$73)))</f>
        <v>0</v>
      </c>
      <c r="F137" s="34">
        <f>(Inputs!$C$82*(1+Inputs!$C$83)^11)/12+IF(134=Inputs!$C$68,Inputs!$C$69/12,0)</f>
        <v>112620.77146127533</v>
      </c>
      <c r="G137" s="34">
        <f>IF(D137="Expired",0,(IF(Inputs!$C$5=1,(Inputs!C38+Inputs!C39)/12,(Inputs!F38+Inputs!F39)/12)*(1+Inputs!$C$83)^11))</f>
        <v>0</v>
      </c>
      <c r="H137" s="34">
        <f t="shared" si="12"/>
        <v>-112620.77146127533</v>
      </c>
      <c r="I137" s="41">
        <f>'Debt Schedule'!I146</f>
        <v>0</v>
      </c>
      <c r="J137" s="34">
        <f t="shared" si="13"/>
        <v>-112620.77146127533</v>
      </c>
      <c r="K137" s="42" t="str">
        <f t="shared" si="14"/>
        <v>-</v>
      </c>
      <c r="L137" s="34">
        <f>SUM($J$4:J137)</f>
        <v>-27934370.476474442</v>
      </c>
    </row>
    <row r="138" spans="2:12" x14ac:dyDescent="0.3">
      <c r="B138" s="28">
        <v>135</v>
      </c>
      <c r="C138" s="29">
        <f>EDATE(DATE(2024,1,1),134)</f>
        <v>49369</v>
      </c>
      <c r="D138" s="37" t="str">
        <f>IF(135&gt;Inputs!$C$74,"Expired",IF(Inputs!$C$68&gt;0,IF(135&lt;Inputs!$C$68,"Paying",IF(135&lt;Inputs!$C$68+Inputs!$C$85,"Default","Re-Lease")),"Paying"))</f>
        <v>Expired</v>
      </c>
      <c r="E138" s="30">
        <f>IF(D138="Expired",0,IF(D138="Default",0,IF(D138="Re-Lease",Inputs!$C$71*Inputs!$C$86,Inputs!$C$73)))</f>
        <v>0</v>
      </c>
      <c r="F138" s="30">
        <f>(Inputs!$C$82*(1+Inputs!$C$83)^11)/12+IF(135=Inputs!$C$68,Inputs!$C$69/12,0)</f>
        <v>112620.77146127533</v>
      </c>
      <c r="G138" s="30">
        <f>IF(D138="Expired",0,(IF(Inputs!$C$5=1,(Inputs!C38+Inputs!C39)/12,(Inputs!F38+Inputs!F39)/12)*(1+Inputs!$C$83)^11))</f>
        <v>0</v>
      </c>
      <c r="H138" s="30">
        <f t="shared" si="12"/>
        <v>-112620.77146127533</v>
      </c>
      <c r="I138" s="38">
        <f>'Debt Schedule'!I147</f>
        <v>0</v>
      </c>
      <c r="J138" s="30">
        <f t="shared" si="13"/>
        <v>-112620.77146127533</v>
      </c>
      <c r="K138" s="39" t="str">
        <f t="shared" si="14"/>
        <v>-</v>
      </c>
      <c r="L138" s="30">
        <f>SUM($J$4:J138)</f>
        <v>-28046991.247935716</v>
      </c>
    </row>
    <row r="139" spans="2:12" x14ac:dyDescent="0.3">
      <c r="B139" s="32">
        <v>136</v>
      </c>
      <c r="C139" s="33">
        <f>EDATE(DATE(2024,1,1),135)</f>
        <v>49400</v>
      </c>
      <c r="D139" s="40" t="str">
        <f>IF(136&gt;Inputs!$C$74,"Expired",IF(Inputs!$C$68&gt;0,IF(136&lt;Inputs!$C$68,"Paying",IF(136&lt;Inputs!$C$68+Inputs!$C$85,"Default","Re-Lease")),"Paying"))</f>
        <v>Expired</v>
      </c>
      <c r="E139" s="34">
        <f>IF(D139="Expired",0,IF(D139="Default",0,IF(D139="Re-Lease",Inputs!$C$71*Inputs!$C$86,Inputs!$C$73)))</f>
        <v>0</v>
      </c>
      <c r="F139" s="34">
        <f>(Inputs!$C$82*(1+Inputs!$C$83)^11)/12+IF(136=Inputs!$C$68,Inputs!$C$69/12,0)</f>
        <v>112620.77146127533</v>
      </c>
      <c r="G139" s="34">
        <f>IF(D139="Expired",0,(IF(Inputs!$C$5=1,(Inputs!C38+Inputs!C39)/12,(Inputs!F38+Inputs!F39)/12)*(1+Inputs!$C$83)^11))</f>
        <v>0</v>
      </c>
      <c r="H139" s="34">
        <f t="shared" si="12"/>
        <v>-112620.77146127533</v>
      </c>
      <c r="I139" s="41">
        <f>'Debt Schedule'!I148</f>
        <v>0</v>
      </c>
      <c r="J139" s="34">
        <f t="shared" si="13"/>
        <v>-112620.77146127533</v>
      </c>
      <c r="K139" s="42" t="str">
        <f t="shared" si="14"/>
        <v>-</v>
      </c>
      <c r="L139" s="34">
        <f>SUM($J$4:J139)</f>
        <v>-28159612.019396991</v>
      </c>
    </row>
    <row r="140" spans="2:12" x14ac:dyDescent="0.3">
      <c r="B140" s="28">
        <v>137</v>
      </c>
      <c r="C140" s="29">
        <f>EDATE(DATE(2024,1,1),136)</f>
        <v>49430</v>
      </c>
      <c r="D140" s="37" t="str">
        <f>IF(137&gt;Inputs!$C$74,"Expired",IF(Inputs!$C$68&gt;0,IF(137&lt;Inputs!$C$68,"Paying",IF(137&lt;Inputs!$C$68+Inputs!$C$85,"Default","Re-Lease")),"Paying"))</f>
        <v>Expired</v>
      </c>
      <c r="E140" s="30">
        <f>IF(D140="Expired",0,IF(D140="Default",0,IF(D140="Re-Lease",Inputs!$C$71*Inputs!$C$86,Inputs!$C$73)))</f>
        <v>0</v>
      </c>
      <c r="F140" s="30">
        <f>(Inputs!$C$82*(1+Inputs!$C$83)^11)/12+IF(137=Inputs!$C$68,Inputs!$C$69/12,0)</f>
        <v>112620.77146127533</v>
      </c>
      <c r="G140" s="30">
        <f>IF(D140="Expired",0,(IF(Inputs!$C$5=1,(Inputs!C38+Inputs!C39)/12,(Inputs!F38+Inputs!F39)/12)*(1+Inputs!$C$83)^11))</f>
        <v>0</v>
      </c>
      <c r="H140" s="30">
        <f t="shared" si="12"/>
        <v>-112620.77146127533</v>
      </c>
      <c r="I140" s="38">
        <f>'Debt Schedule'!I149</f>
        <v>0</v>
      </c>
      <c r="J140" s="30">
        <f t="shared" si="13"/>
        <v>-112620.77146127533</v>
      </c>
      <c r="K140" s="39" t="str">
        <f t="shared" si="14"/>
        <v>-</v>
      </c>
      <c r="L140" s="30">
        <f>SUM($J$4:J140)</f>
        <v>-28272232.790858265</v>
      </c>
    </row>
    <row r="141" spans="2:12" x14ac:dyDescent="0.3">
      <c r="B141" s="32">
        <v>138</v>
      </c>
      <c r="C141" s="33">
        <f>EDATE(DATE(2024,1,1),137)</f>
        <v>49461</v>
      </c>
      <c r="D141" s="40" t="str">
        <f>IF(138&gt;Inputs!$C$74,"Expired",IF(Inputs!$C$68&gt;0,IF(138&lt;Inputs!$C$68,"Paying",IF(138&lt;Inputs!$C$68+Inputs!$C$85,"Default","Re-Lease")),"Paying"))</f>
        <v>Expired</v>
      </c>
      <c r="E141" s="34">
        <f>IF(D141="Expired",0,IF(D141="Default",0,IF(D141="Re-Lease",Inputs!$C$71*Inputs!$C$86,Inputs!$C$73)))</f>
        <v>0</v>
      </c>
      <c r="F141" s="34">
        <f>(Inputs!$C$82*(1+Inputs!$C$83)^11)/12+IF(138=Inputs!$C$68,Inputs!$C$69/12,0)</f>
        <v>112620.77146127533</v>
      </c>
      <c r="G141" s="34">
        <f>IF(D141="Expired",0,(IF(Inputs!$C$5=1,(Inputs!C38+Inputs!C39)/12,(Inputs!F38+Inputs!F39)/12)*(1+Inputs!$C$83)^11))</f>
        <v>0</v>
      </c>
      <c r="H141" s="34">
        <f t="shared" si="12"/>
        <v>-112620.77146127533</v>
      </c>
      <c r="I141" s="41">
        <f>'Debt Schedule'!I150</f>
        <v>0</v>
      </c>
      <c r="J141" s="34">
        <f t="shared" si="13"/>
        <v>-112620.77146127533</v>
      </c>
      <c r="K141" s="42" t="str">
        <f t="shared" si="14"/>
        <v>-</v>
      </c>
      <c r="L141" s="34">
        <f>SUM($J$4:J141)</f>
        <v>-28384853.562319539</v>
      </c>
    </row>
    <row r="142" spans="2:12" x14ac:dyDescent="0.3">
      <c r="B142" s="28">
        <v>139</v>
      </c>
      <c r="C142" s="29">
        <f>EDATE(DATE(2024,1,1),138)</f>
        <v>49491</v>
      </c>
      <c r="D142" s="37" t="str">
        <f>IF(139&gt;Inputs!$C$74,"Expired",IF(Inputs!$C$68&gt;0,IF(139&lt;Inputs!$C$68,"Paying",IF(139&lt;Inputs!$C$68+Inputs!$C$85,"Default","Re-Lease")),"Paying"))</f>
        <v>Expired</v>
      </c>
      <c r="E142" s="30">
        <f>IF(D142="Expired",0,IF(D142="Default",0,IF(D142="Re-Lease",Inputs!$C$71*Inputs!$C$86,Inputs!$C$73)))</f>
        <v>0</v>
      </c>
      <c r="F142" s="30">
        <f>(Inputs!$C$82*(1+Inputs!$C$83)^11)/12+IF(139=Inputs!$C$68,Inputs!$C$69/12,0)</f>
        <v>112620.77146127533</v>
      </c>
      <c r="G142" s="30">
        <f>IF(D142="Expired",0,(IF(Inputs!$C$5=1,(Inputs!C38+Inputs!C39)/12,(Inputs!F38+Inputs!F39)/12)*(1+Inputs!$C$83)^11))</f>
        <v>0</v>
      </c>
      <c r="H142" s="30">
        <f t="shared" si="12"/>
        <v>-112620.77146127533</v>
      </c>
      <c r="I142" s="38">
        <f>'Debt Schedule'!I151</f>
        <v>0</v>
      </c>
      <c r="J142" s="30">
        <f t="shared" si="13"/>
        <v>-112620.77146127533</v>
      </c>
      <c r="K142" s="39" t="str">
        <f t="shared" si="14"/>
        <v>-</v>
      </c>
      <c r="L142" s="30">
        <f>SUM($J$4:J142)</f>
        <v>-28497474.333780814</v>
      </c>
    </row>
    <row r="143" spans="2:12" x14ac:dyDescent="0.3">
      <c r="B143" s="32">
        <v>140</v>
      </c>
      <c r="C143" s="33">
        <f>EDATE(DATE(2024,1,1),139)</f>
        <v>49522</v>
      </c>
      <c r="D143" s="40" t="str">
        <f>IF(140&gt;Inputs!$C$74,"Expired",IF(Inputs!$C$68&gt;0,IF(140&lt;Inputs!$C$68,"Paying",IF(140&lt;Inputs!$C$68+Inputs!$C$85,"Default","Re-Lease")),"Paying"))</f>
        <v>Expired</v>
      </c>
      <c r="E143" s="34">
        <f>IF(D143="Expired",0,IF(D143="Default",0,IF(D143="Re-Lease",Inputs!$C$71*Inputs!$C$86,Inputs!$C$73)))</f>
        <v>0</v>
      </c>
      <c r="F143" s="34">
        <f>(Inputs!$C$82*(1+Inputs!$C$83)^11)/12+IF(140=Inputs!$C$68,Inputs!$C$69/12,0)</f>
        <v>112620.77146127533</v>
      </c>
      <c r="G143" s="34">
        <f>IF(D143="Expired",0,(IF(Inputs!$C$5=1,(Inputs!C38+Inputs!C39)/12,(Inputs!F38+Inputs!F39)/12)*(1+Inputs!$C$83)^11))</f>
        <v>0</v>
      </c>
      <c r="H143" s="34">
        <f t="shared" si="12"/>
        <v>-112620.77146127533</v>
      </c>
      <c r="I143" s="41">
        <f>'Debt Schedule'!I152</f>
        <v>0</v>
      </c>
      <c r="J143" s="34">
        <f t="shared" si="13"/>
        <v>-112620.77146127533</v>
      </c>
      <c r="K143" s="42" t="str">
        <f t="shared" si="14"/>
        <v>-</v>
      </c>
      <c r="L143" s="34">
        <f>SUM($J$4:J143)</f>
        <v>-28610095.105242088</v>
      </c>
    </row>
    <row r="144" spans="2:12" x14ac:dyDescent="0.3">
      <c r="B144" s="28">
        <v>141</v>
      </c>
      <c r="C144" s="29">
        <f>EDATE(DATE(2024,1,1),140)</f>
        <v>49553</v>
      </c>
      <c r="D144" s="37" t="str">
        <f>IF(141&gt;Inputs!$C$74,"Expired",IF(Inputs!$C$68&gt;0,IF(141&lt;Inputs!$C$68,"Paying",IF(141&lt;Inputs!$C$68+Inputs!$C$85,"Default","Re-Lease")),"Paying"))</f>
        <v>Expired</v>
      </c>
      <c r="E144" s="30">
        <f>IF(D144="Expired",0,IF(D144="Default",0,IF(D144="Re-Lease",Inputs!$C$71*Inputs!$C$86,Inputs!$C$73)))</f>
        <v>0</v>
      </c>
      <c r="F144" s="30">
        <f>(Inputs!$C$82*(1+Inputs!$C$83)^11)/12+IF(141=Inputs!$C$68,Inputs!$C$69/12,0)</f>
        <v>112620.77146127533</v>
      </c>
      <c r="G144" s="30">
        <f>IF(D144="Expired",0,(IF(Inputs!$C$5=1,(Inputs!C38+Inputs!C39)/12,(Inputs!F38+Inputs!F39)/12)*(1+Inputs!$C$83)^11))</f>
        <v>0</v>
      </c>
      <c r="H144" s="30">
        <f t="shared" si="12"/>
        <v>-112620.77146127533</v>
      </c>
      <c r="I144" s="38">
        <f>'Debt Schedule'!I153</f>
        <v>0</v>
      </c>
      <c r="J144" s="30">
        <f t="shared" si="13"/>
        <v>-112620.77146127533</v>
      </c>
      <c r="K144" s="39" t="str">
        <f t="shared" si="14"/>
        <v>-</v>
      </c>
      <c r="L144" s="30">
        <f>SUM($J$4:J144)</f>
        <v>-28722715.876703363</v>
      </c>
    </row>
    <row r="145" spans="2:12" x14ac:dyDescent="0.3">
      <c r="B145" s="32">
        <v>142</v>
      </c>
      <c r="C145" s="33">
        <f>EDATE(DATE(2024,1,1),141)</f>
        <v>49583</v>
      </c>
      <c r="D145" s="40" t="str">
        <f>IF(142&gt;Inputs!$C$74,"Expired",IF(Inputs!$C$68&gt;0,IF(142&lt;Inputs!$C$68,"Paying",IF(142&lt;Inputs!$C$68+Inputs!$C$85,"Default","Re-Lease")),"Paying"))</f>
        <v>Expired</v>
      </c>
      <c r="E145" s="34">
        <f>IF(D145="Expired",0,IF(D145="Default",0,IF(D145="Re-Lease",Inputs!$C$71*Inputs!$C$86,Inputs!$C$73)))</f>
        <v>0</v>
      </c>
      <c r="F145" s="34">
        <f>(Inputs!$C$82*(1+Inputs!$C$83)^11)/12+IF(142=Inputs!$C$68,Inputs!$C$69/12,0)</f>
        <v>112620.77146127533</v>
      </c>
      <c r="G145" s="34">
        <f>IF(D145="Expired",0,(IF(Inputs!$C$5=1,(Inputs!C38+Inputs!C39)/12,(Inputs!F38+Inputs!F39)/12)*(1+Inputs!$C$83)^11))</f>
        <v>0</v>
      </c>
      <c r="H145" s="34">
        <f t="shared" si="12"/>
        <v>-112620.77146127533</v>
      </c>
      <c r="I145" s="41">
        <f>'Debt Schedule'!I154</f>
        <v>0</v>
      </c>
      <c r="J145" s="34">
        <f t="shared" si="13"/>
        <v>-112620.77146127533</v>
      </c>
      <c r="K145" s="42" t="str">
        <f t="shared" si="14"/>
        <v>-</v>
      </c>
      <c r="L145" s="34">
        <f>SUM($J$4:J145)</f>
        <v>-28835336.648164637</v>
      </c>
    </row>
    <row r="146" spans="2:12" x14ac:dyDescent="0.3">
      <c r="B146" s="28">
        <v>143</v>
      </c>
      <c r="C146" s="29">
        <f>EDATE(DATE(2024,1,1),142)</f>
        <v>49614</v>
      </c>
      <c r="D146" s="37" t="str">
        <f>IF(143&gt;Inputs!$C$74,"Expired",IF(Inputs!$C$68&gt;0,IF(143&lt;Inputs!$C$68,"Paying",IF(143&lt;Inputs!$C$68+Inputs!$C$85,"Default","Re-Lease")),"Paying"))</f>
        <v>Expired</v>
      </c>
      <c r="E146" s="30">
        <f>IF(D146="Expired",0,IF(D146="Default",0,IF(D146="Re-Lease",Inputs!$C$71*Inputs!$C$86,Inputs!$C$73)))</f>
        <v>0</v>
      </c>
      <c r="F146" s="30">
        <f>(Inputs!$C$82*(1+Inputs!$C$83)^11)/12+IF(143=Inputs!$C$68,Inputs!$C$69/12,0)</f>
        <v>112620.77146127533</v>
      </c>
      <c r="G146" s="30">
        <f>IF(D146="Expired",0,(IF(Inputs!$C$5=1,(Inputs!C38+Inputs!C39)/12,(Inputs!F38+Inputs!F39)/12)*(1+Inputs!$C$83)^11))</f>
        <v>0</v>
      </c>
      <c r="H146" s="30">
        <f t="shared" si="12"/>
        <v>-112620.77146127533</v>
      </c>
      <c r="I146" s="38">
        <f>'Debt Schedule'!I155</f>
        <v>0</v>
      </c>
      <c r="J146" s="30">
        <f t="shared" si="13"/>
        <v>-112620.77146127533</v>
      </c>
      <c r="K146" s="39" t="str">
        <f t="shared" si="14"/>
        <v>-</v>
      </c>
      <c r="L146" s="30">
        <f>SUM($J$4:J146)</f>
        <v>-28947957.419625912</v>
      </c>
    </row>
    <row r="147" spans="2:12" x14ac:dyDescent="0.3">
      <c r="B147" s="32">
        <v>144</v>
      </c>
      <c r="C147" s="33">
        <f>EDATE(DATE(2024,1,1),143)</f>
        <v>49644</v>
      </c>
      <c r="D147" s="40" t="str">
        <f>IF(144&gt;Inputs!$C$74,"Expired",IF(Inputs!$C$68&gt;0,IF(144&lt;Inputs!$C$68,"Paying",IF(144&lt;Inputs!$C$68+Inputs!$C$85,"Default","Re-Lease")),"Paying"))</f>
        <v>Expired</v>
      </c>
      <c r="E147" s="34">
        <f>IF(D147="Expired",0,IF(D147="Default",0,IF(D147="Re-Lease",Inputs!$C$71*Inputs!$C$86,Inputs!$C$73)))</f>
        <v>0</v>
      </c>
      <c r="F147" s="34">
        <f>(Inputs!$C$82*(1+Inputs!$C$83)^11)/12+IF(144=Inputs!$C$68,Inputs!$C$69/12,0)</f>
        <v>112620.77146127533</v>
      </c>
      <c r="G147" s="34">
        <f>IF(D147="Expired",0,(IF(Inputs!$C$5=1,(Inputs!C38+Inputs!C39)/12,(Inputs!F38+Inputs!F39)/12)*(1+Inputs!$C$83)^11))</f>
        <v>0</v>
      </c>
      <c r="H147" s="34">
        <f t="shared" si="12"/>
        <v>-112620.77146127533</v>
      </c>
      <c r="I147" s="41">
        <f>'Debt Schedule'!I156</f>
        <v>0</v>
      </c>
      <c r="J147" s="34">
        <f t="shared" si="13"/>
        <v>-112620.77146127533</v>
      </c>
      <c r="K147" s="42" t="str">
        <f t="shared" si="14"/>
        <v>-</v>
      </c>
      <c r="L147" s="34">
        <f>SUM($J$4:J147)</f>
        <v>-29060578.191087186</v>
      </c>
    </row>
    <row r="148" spans="2:12" x14ac:dyDescent="0.3">
      <c r="B148" s="75" t="s">
        <v>108</v>
      </c>
      <c r="C148" s="75"/>
      <c r="D148" s="75"/>
      <c r="E148" s="36">
        <f t="shared" ref="E148:J148" si="15">SUM(E4:E147)</f>
        <v>67392000</v>
      </c>
      <c r="F148" s="36">
        <f t="shared" si="15"/>
        <v>14209419.558947492</v>
      </c>
      <c r="G148" s="36">
        <f t="shared" si="15"/>
        <v>7058130.5137482081</v>
      </c>
      <c r="H148" s="36">
        <f t="shared" si="15"/>
        <v>46124449.927304313</v>
      </c>
      <c r="I148" s="36">
        <f t="shared" si="15"/>
        <v>75185028.118391588</v>
      </c>
      <c r="J148" s="36">
        <f t="shared" si="15"/>
        <v>-29060578.191087186</v>
      </c>
    </row>
  </sheetData>
  <mergeCells count="2">
    <mergeCell ref="A1:K1"/>
    <mergeCell ref="B148:D1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D39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3" customWidth="1"/>
    <col min="2" max="2" width="36" customWidth="1"/>
    <col min="3" max="3" width="20" customWidth="1"/>
    <col min="4" max="4" width="4" customWidth="1"/>
  </cols>
  <sheetData>
    <row r="1" spans="1:4" ht="30" customHeight="1" x14ac:dyDescent="0.3">
      <c r="A1" s="68" t="s">
        <v>119</v>
      </c>
      <c r="B1" s="68"/>
      <c r="C1" s="68"/>
      <c r="D1" s="68"/>
    </row>
    <row r="3" spans="1:4" x14ac:dyDescent="0.3">
      <c r="B3" s="73" t="s">
        <v>120</v>
      </c>
      <c r="C3" s="73"/>
    </row>
    <row r="4" spans="1:4" x14ac:dyDescent="0.3">
      <c r="B4" s="4" t="s">
        <v>121</v>
      </c>
      <c r="C4" s="10">
        <f>-Inputs!C71</f>
        <v>-72000000</v>
      </c>
    </row>
    <row r="5" spans="1:4" x14ac:dyDescent="0.3">
      <c r="B5" s="4" t="s">
        <v>122</v>
      </c>
      <c r="C5" s="10">
        <f>-(Inputs!C71-Inputs!C76)</f>
        <v>-18000000</v>
      </c>
    </row>
    <row r="6" spans="1:4" x14ac:dyDescent="0.3">
      <c r="B6" s="4" t="s">
        <v>123</v>
      </c>
      <c r="C6" s="15">
        <f>Inputs!C76</f>
        <v>54000000</v>
      </c>
    </row>
    <row r="7" spans="1:4" x14ac:dyDescent="0.3">
      <c r="B7" s="4" t="s">
        <v>124</v>
      </c>
      <c r="C7" s="10">
        <f>-'Debt Schedule'!C9</f>
        <v>-540000</v>
      </c>
    </row>
    <row r="8" spans="1:4" x14ac:dyDescent="0.3">
      <c r="B8" s="4" t="s">
        <v>125</v>
      </c>
      <c r="C8" s="43">
        <f>C5+C7</f>
        <v>-18540000</v>
      </c>
    </row>
    <row r="11" spans="1:4" x14ac:dyDescent="0.3">
      <c r="B11" s="73" t="s">
        <v>126</v>
      </c>
      <c r="C11" s="73"/>
    </row>
    <row r="12" spans="1:4" x14ac:dyDescent="0.3">
      <c r="B12" s="4" t="s">
        <v>127</v>
      </c>
      <c r="C12" s="15">
        <f>SUM(Calculations!E4:E148)</f>
        <v>134784000</v>
      </c>
    </row>
    <row r="13" spans="1:4" x14ac:dyDescent="0.3">
      <c r="B13" s="4" t="s">
        <v>128</v>
      </c>
      <c r="C13" s="15">
        <f>-SUM(Calculations!F4:F148)</f>
        <v>-28418839.117894985</v>
      </c>
    </row>
    <row r="14" spans="1:4" x14ac:dyDescent="0.3">
      <c r="B14" s="4" t="s">
        <v>129</v>
      </c>
      <c r="C14" s="15">
        <f>-SUM(Calculations!G4:G148)</f>
        <v>-14116261.027496416</v>
      </c>
    </row>
    <row r="15" spans="1:4" x14ac:dyDescent="0.3">
      <c r="B15" s="4" t="s">
        <v>130</v>
      </c>
      <c r="C15" s="44">
        <f>SUM(Calculations!H4:H148)</f>
        <v>92248899.854608625</v>
      </c>
    </row>
    <row r="16" spans="1:4" x14ac:dyDescent="0.3">
      <c r="B16" s="4" t="s">
        <v>131</v>
      </c>
      <c r="C16" s="15">
        <f>-SUM(Calculations!I4:I148)</f>
        <v>-150370056.23678318</v>
      </c>
    </row>
    <row r="17" spans="2:3" x14ac:dyDescent="0.3">
      <c r="B17" s="4" t="s">
        <v>132</v>
      </c>
      <c r="C17" s="44">
        <f>SUM(Calculations!J4:J148)</f>
        <v>-58121156.382174373</v>
      </c>
    </row>
    <row r="20" spans="2:3" x14ac:dyDescent="0.3">
      <c r="B20" s="73" t="s">
        <v>133</v>
      </c>
      <c r="C20" s="73"/>
    </row>
    <row r="21" spans="2:3" x14ac:dyDescent="0.3">
      <c r="B21" s="4" t="s">
        <v>134</v>
      </c>
      <c r="C21" s="15">
        <f>Inputs!C71*(1-Inputs!C80)^(Inputs!C74/12)</f>
        <v>50420323.739024237</v>
      </c>
    </row>
    <row r="22" spans="2:3" x14ac:dyDescent="0.3">
      <c r="B22" s="4" t="s">
        <v>135</v>
      </c>
      <c r="C22" s="15">
        <f>-C21*Inputs!C81</f>
        <v>-2521016.1869512121</v>
      </c>
    </row>
    <row r="23" spans="2:3" x14ac:dyDescent="0.3">
      <c r="B23" s="4" t="s">
        <v>136</v>
      </c>
      <c r="C23" s="10">
        <f>C21+C22</f>
        <v>47899307.552073024</v>
      </c>
    </row>
    <row r="24" spans="2:3" x14ac:dyDescent="0.3">
      <c r="B24" s="4" t="s">
        <v>137</v>
      </c>
      <c r="C24" s="15">
        <f>IFERROR('Debt Schedule'!I156,0)</f>
        <v>0</v>
      </c>
    </row>
    <row r="25" spans="2:3" x14ac:dyDescent="0.3">
      <c r="B25" s="4" t="s">
        <v>138</v>
      </c>
      <c r="C25" s="43">
        <f>C23-C24</f>
        <v>47899307.552073024</v>
      </c>
    </row>
    <row r="28" spans="2:3" x14ac:dyDescent="0.3">
      <c r="B28" s="73" t="s">
        <v>139</v>
      </c>
      <c r="C28" s="73"/>
    </row>
    <row r="29" spans="2:3" x14ac:dyDescent="0.3">
      <c r="B29" s="20" t="s">
        <v>140</v>
      </c>
      <c r="C29" s="45">
        <f>ABS(C8)</f>
        <v>18540000</v>
      </c>
    </row>
    <row r="30" spans="2:3" x14ac:dyDescent="0.3">
      <c r="B30" s="20" t="s">
        <v>141</v>
      </c>
      <c r="C30" s="10">
        <f>C17+C25</f>
        <v>-10221848.830101348</v>
      </c>
    </row>
    <row r="31" spans="2:3" x14ac:dyDescent="0.3">
      <c r="B31" s="46" t="s">
        <v>142</v>
      </c>
      <c r="C31" s="47">
        <f>IFERROR(C30/C29,0)</f>
        <v>-0.55134028209823882</v>
      </c>
    </row>
    <row r="33" spans="2:3" x14ac:dyDescent="0.3">
      <c r="B33" s="48" t="s">
        <v>143</v>
      </c>
      <c r="C33" s="49"/>
    </row>
    <row r="34" spans="2:3" x14ac:dyDescent="0.3">
      <c r="B34" s="20" t="s">
        <v>144</v>
      </c>
      <c r="C34" s="50" t="str">
        <f>IFERROR(IRR(irr_cfs,0.005)*12,"N/A")</f>
        <v>N/A</v>
      </c>
    </row>
    <row r="35" spans="2:3" x14ac:dyDescent="0.3">
      <c r="B35" s="46" t="s">
        <v>145</v>
      </c>
      <c r="C35" s="51" t="str">
        <f>IFERROR((C30/C29)^(12/Inputs!C74)-1,"N/A")</f>
        <v>N/A</v>
      </c>
    </row>
    <row r="36" spans="2:3" x14ac:dyDescent="0.3">
      <c r="B36" s="20" t="s">
        <v>146</v>
      </c>
      <c r="C36" s="52">
        <f>IFERROR(AVERAGEIF(Calculations!I4:I148,"&gt;"&amp;0,Calculations!H4:H148)/AVERAGEIF(Calculations!I4:I148,"&gt;"&amp;0,Calculations!I4:I148),"N/A")</f>
        <v>0.63123495839624044</v>
      </c>
    </row>
    <row r="37" spans="2:3" x14ac:dyDescent="0.3">
      <c r="B37" s="20" t="s">
        <v>147</v>
      </c>
      <c r="C37" s="52" t="str">
        <f ca="1">IFERROR(_xludf.minifs(Calculations!K4:K148,Calculations!K4:K148,"&gt;"&amp;0),"N/A")</f>
        <v>N/A</v>
      </c>
    </row>
    <row r="38" spans="2:3" x14ac:dyDescent="0.3">
      <c r="B38" s="20" t="s">
        <v>148</v>
      </c>
      <c r="C38" s="17">
        <f>Inputs!C84</f>
        <v>1.25</v>
      </c>
    </row>
    <row r="39" spans="2:3" x14ac:dyDescent="0.3">
      <c r="B39" s="20" t="s">
        <v>149</v>
      </c>
      <c r="C39" s="53" t="str">
        <f ca="1">IF(ISNUMBER(C37),IF(C37&lt;C38,"YES - BREACH","No"),"Check")</f>
        <v>Check</v>
      </c>
    </row>
  </sheetData>
  <mergeCells count="5">
    <mergeCell ref="A1:D1"/>
    <mergeCell ref="B3:C3"/>
    <mergeCell ref="B11:C11"/>
    <mergeCell ref="B20:C20"/>
    <mergeCell ref="B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8"/>
  <sheetViews>
    <sheetView showGridLines="0" topLeftCell="A41" zoomScale="119" zoomScaleNormal="90" workbookViewId="0">
      <selection activeCell="L53" sqref="L53"/>
    </sheetView>
  </sheetViews>
  <sheetFormatPr defaultColWidth="8.6640625" defaultRowHeight="14.4" x14ac:dyDescent="0.3"/>
  <cols>
    <col min="1" max="1" width="2" customWidth="1"/>
    <col min="2" max="2" width="18" customWidth="1"/>
    <col min="3" max="9" width="14" customWidth="1"/>
    <col min="10" max="10" width="11.109375" bestFit="1" customWidth="1"/>
    <col min="11" max="11" width="11.77734375" bestFit="1" customWidth="1"/>
  </cols>
  <sheetData>
    <row r="1" spans="1:10" ht="39.75" customHeight="1" x14ac:dyDescent="0.3">
      <c r="A1" s="76" t="s">
        <v>150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15.75" customHeight="1" x14ac:dyDescent="0.3">
      <c r="A2" s="77" t="str">
        <f ca="1">IFERROR("Deal: "&amp;IF(Inputs!C5=1,"Boeing 737-800 (MSN-28024)","Airbus A320neo (MSN-10458)")&amp;"   |   Scenario: "&amp;IF(Inputs!C6=1,"Base",IF(Inputs!C6=2,"Upside","Downside"))&amp;"   |   As of: "&amp;TEXT(TODAY(),"DD-MMM-YYYY"),"")</f>
        <v>Deal: Boeing 737-800 (MSN-28024)   |   Scenario: Base   |   As of: 15-Jun-2026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ht="15.75" customHeight="1" x14ac:dyDescent="0.3">
      <c r="B4" s="54" t="s">
        <v>151</v>
      </c>
      <c r="C4" s="54" t="s">
        <v>152</v>
      </c>
      <c r="D4" s="54" t="s">
        <v>153</v>
      </c>
      <c r="E4" s="54" t="s">
        <v>154</v>
      </c>
      <c r="F4" s="54" t="s">
        <v>155</v>
      </c>
      <c r="G4" s="54" t="s">
        <v>156</v>
      </c>
      <c r="H4" s="54" t="s">
        <v>89</v>
      </c>
      <c r="I4" s="54" t="s">
        <v>157</v>
      </c>
    </row>
    <row r="5" spans="1:10" ht="31.5" customHeight="1" x14ac:dyDescent="0.3">
      <c r="B5" s="55" t="str">
        <f>TEXT('Cash Flows'!C35,"0.0%")</f>
        <v>N/A</v>
      </c>
      <c r="C5" s="55" t="str">
        <f>TEXT('Cash Flows'!C31,"0.0x")</f>
        <v>-0.6x</v>
      </c>
      <c r="D5" s="55" t="str">
        <f>TEXT('Cash Flows'!C36,"0.00x")</f>
        <v>0.63x</v>
      </c>
      <c r="E5" s="55" t="str">
        <f ca="1">TEXT('Cash Flows'!C37,"0.00x")</f>
        <v>N/A</v>
      </c>
      <c r="F5" s="55" t="str">
        <f>TEXT('Cash Flows'!C17,"$#,##0")</f>
        <v>-$5,81,21,156</v>
      </c>
      <c r="G5" s="55" t="str">
        <f>TEXT('Cash Flows'!C23,"$#,##0")</f>
        <v>$4,78,99,308</v>
      </c>
      <c r="H5" s="55" t="str">
        <f>TEXT(Inputs!C76,"$#,##0")</f>
        <v>$5,40,00,000</v>
      </c>
      <c r="I5" s="56" t="str">
        <f ca="1">IF('Cash Flows'!C39="YES - BREACH","BREACH","OK")</f>
        <v>OK</v>
      </c>
    </row>
    <row r="6" spans="1:10" ht="31.5" customHeight="1" x14ac:dyDescent="0.3">
      <c r="B6" s="49"/>
      <c r="C6" s="49"/>
      <c r="D6" s="49"/>
      <c r="E6" s="49"/>
      <c r="F6" s="49"/>
      <c r="G6" s="49"/>
      <c r="H6" s="49"/>
      <c r="I6" s="57"/>
    </row>
    <row r="7" spans="1:10" ht="13.5" customHeight="1" x14ac:dyDescent="0.3"/>
    <row r="8" spans="1:10" x14ac:dyDescent="0.3">
      <c r="B8" s="78" t="s">
        <v>158</v>
      </c>
      <c r="C8" s="78"/>
      <c r="D8" s="78"/>
      <c r="E8" s="78"/>
      <c r="F8" s="78"/>
      <c r="G8" s="78"/>
      <c r="H8" s="78"/>
      <c r="I8" s="78"/>
    </row>
    <row r="42" spans="2:11" x14ac:dyDescent="0.3">
      <c r="B42" s="73" t="s">
        <v>159</v>
      </c>
      <c r="C42" s="73"/>
      <c r="D42" s="73"/>
      <c r="E42" s="73"/>
      <c r="F42" s="73"/>
    </row>
    <row r="43" spans="2:11" x14ac:dyDescent="0.3">
      <c r="B43" s="58" t="s">
        <v>160</v>
      </c>
      <c r="C43" s="3" t="s">
        <v>161</v>
      </c>
      <c r="D43" s="3" t="s">
        <v>162</v>
      </c>
      <c r="E43" s="3" t="s">
        <v>163</v>
      </c>
      <c r="F43" s="3" t="s">
        <v>164</v>
      </c>
      <c r="G43" s="3" t="s">
        <v>165</v>
      </c>
    </row>
    <row r="44" spans="2:11" x14ac:dyDescent="0.3">
      <c r="B44" s="3" t="s">
        <v>166</v>
      </c>
      <c r="C44" s="59">
        <v>0.14050000000000001</v>
      </c>
      <c r="D44" s="59">
        <v>0.1361</v>
      </c>
      <c r="E44" s="59">
        <v>0.13159999999999999</v>
      </c>
      <c r="F44" s="59">
        <v>0.12690000000000001</v>
      </c>
      <c r="G44" s="59">
        <v>0.122</v>
      </c>
    </row>
    <row r="45" spans="2:11" x14ac:dyDescent="0.3">
      <c r="B45" s="79" t="s">
        <v>167</v>
      </c>
      <c r="C45" s="79"/>
      <c r="D45" s="79"/>
      <c r="E45" s="79"/>
      <c r="F45" s="79"/>
      <c r="G45" s="79"/>
      <c r="H45" s="79"/>
    </row>
    <row r="46" spans="2:11" x14ac:dyDescent="0.3">
      <c r="B46" s="3" t="s">
        <v>168</v>
      </c>
      <c r="C46" s="59">
        <v>0.13089999999999999</v>
      </c>
      <c r="D46" s="59">
        <v>0.12620000000000001</v>
      </c>
      <c r="E46" s="59">
        <v>0.12130000000000001</v>
      </c>
      <c r="F46" s="60">
        <v>0.1162</v>
      </c>
      <c r="G46" s="60">
        <v>0.1109</v>
      </c>
      <c r="H46" s="61" t="s">
        <v>169</v>
      </c>
      <c r="J46" s="62" t="s">
        <v>170</v>
      </c>
      <c r="K46" s="62" t="s">
        <v>171</v>
      </c>
    </row>
    <row r="47" spans="2:11" x14ac:dyDescent="0.3">
      <c r="B47" s="3" t="s">
        <v>172</v>
      </c>
      <c r="C47" s="59">
        <v>0.12590000000000001</v>
      </c>
      <c r="D47" s="59">
        <v>0.121</v>
      </c>
      <c r="E47" s="60">
        <v>0.1159</v>
      </c>
      <c r="F47" s="60">
        <v>0.1105</v>
      </c>
      <c r="G47" s="60">
        <v>0.10489999999999999</v>
      </c>
      <c r="H47" s="63">
        <f>IFERROR(SUM(Calculations!$L$4:L15),0)</f>
        <v>-8835468.2769544795</v>
      </c>
      <c r="J47" t="s">
        <v>173</v>
      </c>
      <c r="K47" s="26">
        <f>Inputs!C76</f>
        <v>54000000</v>
      </c>
    </row>
    <row r="48" spans="2:11" x14ac:dyDescent="0.3">
      <c r="B48" s="3" t="s">
        <v>174</v>
      </c>
      <c r="C48" s="59">
        <v>0.1206</v>
      </c>
      <c r="D48" s="60">
        <v>0.11550000000000001</v>
      </c>
      <c r="E48" s="60">
        <v>0.1101</v>
      </c>
      <c r="F48" s="60">
        <v>0.1045</v>
      </c>
      <c r="G48" s="60">
        <v>9.8699999999999996E-2</v>
      </c>
      <c r="H48" s="63">
        <f>IFERROR(SUM(Calculations!$L$4:L27),0)</f>
        <v>-34252320.29597877</v>
      </c>
      <c r="J48" t="s">
        <v>175</v>
      </c>
      <c r="K48" s="26">
        <f>Inputs!C71-Inputs!C76</f>
        <v>18000000</v>
      </c>
    </row>
    <row r="49" spans="2:8" x14ac:dyDescent="0.3">
      <c r="B49" s="64">
        <v>3</v>
      </c>
      <c r="C49" s="63">
        <f>IFERROR(1*SUM(Calculations!E28:E39),0)</f>
        <v>6739200</v>
      </c>
      <c r="D49" s="63">
        <f>IFERROR(-1*SUM(Calculations!F28:F39),0)</f>
        <v>-1082143.7500000002</v>
      </c>
      <c r="E49" s="63">
        <f>IFERROR(1*SUM(Calculations!H28:H39),0)</f>
        <v>4995162.5</v>
      </c>
      <c r="F49" s="63">
        <f>IFERROR(-1*SUM(Calculations!I28:I39),0)</f>
        <v>-6438502.8118391512</v>
      </c>
      <c r="G49" s="63">
        <f>IFERROR(1*SUM(Calculations!J28:J39),0)</f>
        <v>-1443340.311839151</v>
      </c>
      <c r="H49" s="63">
        <f>IFERROR(SUM(Calculations!$L$4:L39),0)</f>
        <v>-76755299.807072848</v>
      </c>
    </row>
    <row r="50" spans="2:8" x14ac:dyDescent="0.3">
      <c r="B50" s="64">
        <v>4</v>
      </c>
      <c r="C50" s="63">
        <f>IFERROR(1*SUM(Calculations!E40:E51),0)</f>
        <v>6739200</v>
      </c>
      <c r="D50" s="63">
        <f>IFERROR(-1*SUM(Calculations!F40:F51),0)</f>
        <v>-1109197.3437499998</v>
      </c>
      <c r="E50" s="63">
        <f>IFERROR(1*SUM(Calculations!H40:H51),0)</f>
        <v>4951561.5625000009</v>
      </c>
      <c r="F50" s="63">
        <f>IFERROR(-1*SUM(Calculations!I40:I51),0)</f>
        <v>-6438502.8118391512</v>
      </c>
      <c r="G50" s="63">
        <f>IFERROR(1*SUM(Calculations!J40:J51),0)</f>
        <v>-1486941.2493391503</v>
      </c>
      <c r="H50" s="63">
        <f>IFERROR(SUM(Calculations!$L$4:L51),0)</f>
        <v>-136861769.15398675</v>
      </c>
    </row>
    <row r="51" spans="2:8" x14ac:dyDescent="0.3">
      <c r="B51" s="64">
        <v>5</v>
      </c>
      <c r="C51" s="63">
        <f>IFERROR(1*SUM(Calculations!E52:E63),0)</f>
        <v>6739200</v>
      </c>
      <c r="D51" s="63">
        <f>IFERROR(-1*SUM(Calculations!F52:F63),0)</f>
        <v>-1136927.2773437495</v>
      </c>
      <c r="E51" s="63">
        <f>IFERROR(1*SUM(Calculations!H52:H63),0)</f>
        <v>4906870.6015625</v>
      </c>
      <c r="F51" s="63">
        <f>IFERROR(-1*SUM(Calculations!I52:I63),0)</f>
        <v>-6438502.8118391512</v>
      </c>
      <c r="G51" s="63">
        <f>IFERROR(1*SUM(Calculations!J52:J63),0)</f>
        <v>-1531632.210276651</v>
      </c>
      <c r="H51" s="63">
        <f>IFERROR(SUM(Calculations!$L$4:L63),0)</f>
        <v>-215102024.73906422</v>
      </c>
    </row>
    <row r="52" spans="2:8" x14ac:dyDescent="0.3">
      <c r="B52" s="64">
        <v>6</v>
      </c>
      <c r="C52" s="63">
        <f>IFERROR(1*SUM(Calculations!E64:E75),0)</f>
        <v>6739200</v>
      </c>
      <c r="D52" s="63">
        <f>IFERROR(-1*SUM(Calculations!F64:F75),0)</f>
        <v>-1165350.4592773432</v>
      </c>
      <c r="E52" s="63">
        <f>IFERROR(1*SUM(Calculations!H64:H75),0)</f>
        <v>4861062.3666015631</v>
      </c>
      <c r="F52" s="63">
        <f>IFERROR(-1*SUM(Calculations!I64:I75),0)</f>
        <v>-6438502.8118391512</v>
      </c>
      <c r="G52" s="63">
        <f>IFERROR(1*SUM(Calculations!J64:J75),0)</f>
        <v>-1577440.4452375874</v>
      </c>
      <c r="H52" s="63">
        <f>IFERROR(SUM(Calculations!$L$4:L75),0)</f>
        <v>-312019620.37470752</v>
      </c>
    </row>
    <row r="53" spans="2:8" x14ac:dyDescent="0.3">
      <c r="B53" s="64">
        <v>7</v>
      </c>
      <c r="C53" s="63">
        <f>IFERROR(1*SUM(Calculations!E76:E87),0)</f>
        <v>6739200</v>
      </c>
      <c r="D53" s="63">
        <f>IFERROR(-1*SUM(Calculations!F76:F87),0)</f>
        <v>-1194484.2207592768</v>
      </c>
      <c r="E53" s="63">
        <f>IFERROR(1*SUM(Calculations!H76:H87),0)</f>
        <v>4814108.9257666022</v>
      </c>
      <c r="F53" s="63">
        <f>IFERROR(-1*SUM(Calculations!I76:I87),0)</f>
        <v>-6438502.8118391512</v>
      </c>
      <c r="G53" s="63">
        <f>IFERROR(1*SUM(Calculations!J76:J87),0)</f>
        <v>-1624393.886072549</v>
      </c>
      <c r="H53" s="63">
        <f>IFERROR(SUM(Calculations!$L$4:L87),0)</f>
        <v>-428171698.71862906</v>
      </c>
    </row>
    <row r="54" spans="2:8" x14ac:dyDescent="0.3">
      <c r="B54" s="64">
        <v>8</v>
      </c>
      <c r="C54" s="63">
        <f>IFERROR(1*SUM(Calculations!E88:E99),0)</f>
        <v>6739200</v>
      </c>
      <c r="D54" s="63">
        <f>IFERROR(-1*SUM(Calculations!F88:F99),0)</f>
        <v>-1224346.3262782588</v>
      </c>
      <c r="E54" s="63">
        <f>IFERROR(1*SUM(Calculations!H88:H99),0)</f>
        <v>4765981.6489107674</v>
      </c>
      <c r="F54" s="63">
        <f>IFERROR(-1*SUM(Calculations!I88:I99),0)</f>
        <v>-6438502.8118391512</v>
      </c>
      <c r="G54" s="63">
        <f>IFERROR(1*SUM(Calculations!J88:J99),0)</f>
        <v>-1672521.1629283838</v>
      </c>
      <c r="H54" s="63">
        <f>IFERROR(SUM(Calculations!$L$4:L99),0)</f>
        <v>-564129330.99498403</v>
      </c>
    </row>
    <row r="55" spans="2:8" x14ac:dyDescent="0.3">
      <c r="B55" s="64">
        <v>9</v>
      </c>
      <c r="C55" s="63">
        <f>IFERROR(1*SUM(Calculations!E100:E111),0)</f>
        <v>6739200</v>
      </c>
      <c r="D55" s="63">
        <f>IFERROR(-1*SUM(Calculations!F100:F111),0)</f>
        <v>-1254954.9844352154</v>
      </c>
      <c r="E55" s="63">
        <f>IFERROR(1*SUM(Calculations!H100:H111),0)</f>
        <v>4716651.1901335372</v>
      </c>
      <c r="F55" s="63">
        <f>IFERROR(-1*SUM(Calculations!I100:I111),0)</f>
        <v>-6438502.8118391512</v>
      </c>
      <c r="G55" s="63">
        <f>IFERROR(1*SUM(Calculations!J100:J111),0)</f>
        <v>-1721851.621705614</v>
      </c>
      <c r="H55" s="63">
        <f>IFERROR(SUM(Calculations!$L$4:L111),0)</f>
        <v>-720477865.2085315</v>
      </c>
    </row>
    <row r="56" spans="2:8" x14ac:dyDescent="0.3">
      <c r="B56" s="64">
        <v>10</v>
      </c>
      <c r="C56" s="63">
        <f>IFERROR(1*SUM(Calculations!E112:E123),0)</f>
        <v>6739200</v>
      </c>
      <c r="D56" s="63">
        <f>IFERROR(-1*SUM(Calculations!F112:F123),0)</f>
        <v>-1286328.8590460957</v>
      </c>
      <c r="E56" s="63">
        <f>IFERROR(1*SUM(Calculations!H112:H123),0)</f>
        <v>4666087.4698868748</v>
      </c>
      <c r="F56" s="63">
        <f>IFERROR(-1*SUM(Calculations!I112:I123),0)</f>
        <v>-17238502.811839148</v>
      </c>
      <c r="G56" s="63">
        <f>IFERROR(1*SUM(Calculations!J112:J123),0)</f>
        <v>-12572415.341952274</v>
      </c>
      <c r="H56" s="63">
        <f>IFERROR(SUM(Calculations!$L$4:L123),0)</f>
        <v>-908617283.0641495</v>
      </c>
    </row>
    <row r="57" spans="2:8" x14ac:dyDescent="0.3">
      <c r="B57" s="64">
        <v>11</v>
      </c>
      <c r="C57" s="63">
        <f>IFERROR(1*SUM(Calculations!E124:E135),0)</f>
        <v>0</v>
      </c>
      <c r="D57" s="63">
        <f>IFERROR(-1*SUM(Calculations!F124:F135),0)</f>
        <v>-1318487.0805222483</v>
      </c>
      <c r="E57" s="63">
        <f>IFERROR(1*SUM(Calculations!H124:H135),0)</f>
        <v>-1318487.0805222483</v>
      </c>
      <c r="F57" s="63">
        <f>IFERROR(-1*SUM(Calculations!I124:I135),0)</f>
        <v>0</v>
      </c>
      <c r="G57" s="63">
        <f>IFERROR(1*SUM(Calculations!J124:J135),0)</f>
        <v>-1318487.0805222483</v>
      </c>
      <c r="H57" s="63">
        <f>IFERROR(SUM(Calculations!$L$4:L135),0)</f>
        <v>-1233875151.3238997</v>
      </c>
    </row>
    <row r="58" spans="2:8" x14ac:dyDescent="0.3">
      <c r="B58" s="64">
        <v>12</v>
      </c>
      <c r="C58" s="63">
        <f>IFERROR(1*SUM(Calculations!E136:E147),0)</f>
        <v>0</v>
      </c>
      <c r="D58" s="63">
        <f>IFERROR(-1*SUM(Calculations!F136:F147),0)</f>
        <v>-1351449.2575353039</v>
      </c>
      <c r="E58" s="63">
        <f>IFERROR(1*SUM(Calculations!H136:H147),0)</f>
        <v>-1351449.2575353039</v>
      </c>
      <c r="F58" s="63">
        <f>IFERROR(-1*SUM(Calculations!I136:I147),0)</f>
        <v>0</v>
      </c>
      <c r="G58" s="63">
        <f>IFERROR(1*SUM(Calculations!J136:J147),0)</f>
        <v>-1351449.2575353039</v>
      </c>
      <c r="H58" s="63">
        <f>IFERROR(SUM(Calculations!$L$4:L147),0)</f>
        <v>-1575169118.7005022</v>
      </c>
    </row>
  </sheetData>
  <mergeCells count="5">
    <mergeCell ref="A1:J1"/>
    <mergeCell ref="A2:J2"/>
    <mergeCell ref="B8:I8"/>
    <mergeCell ref="B42:F42"/>
    <mergeCell ref="B45:H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78"/>
  <sheetViews>
    <sheetView showGridLines="0" zoomScaleNormal="100" workbookViewId="0">
      <selection sqref="A1:B1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1" spans="1:2" ht="27.75" customHeight="1" x14ac:dyDescent="0.3">
      <c r="A1" s="80" t="s">
        <v>176</v>
      </c>
      <c r="B1" s="80"/>
    </row>
    <row r="2" spans="1:2" x14ac:dyDescent="0.3">
      <c r="B2" s="65" t="s">
        <v>177</v>
      </c>
    </row>
    <row r="3" spans="1:2" x14ac:dyDescent="0.3">
      <c r="B3" s="65" t="s">
        <v>178</v>
      </c>
    </row>
    <row r="4" spans="1:2" x14ac:dyDescent="0.3">
      <c r="B4" s="65" t="s">
        <v>179</v>
      </c>
    </row>
    <row r="5" spans="1:2" x14ac:dyDescent="0.3">
      <c r="B5" s="65"/>
    </row>
    <row r="6" spans="1:2" x14ac:dyDescent="0.3">
      <c r="B6" s="66" t="s">
        <v>180</v>
      </c>
    </row>
    <row r="7" spans="1:2" x14ac:dyDescent="0.3">
      <c r="B7" s="65" t="s">
        <v>181</v>
      </c>
    </row>
    <row r="8" spans="1:2" x14ac:dyDescent="0.3">
      <c r="B8" s="65" t="s">
        <v>182</v>
      </c>
    </row>
    <row r="9" spans="1:2" x14ac:dyDescent="0.3">
      <c r="B9" s="65" t="s">
        <v>183</v>
      </c>
    </row>
    <row r="10" spans="1:2" x14ac:dyDescent="0.3">
      <c r="B10" s="65" t="s">
        <v>184</v>
      </c>
    </row>
    <row r="11" spans="1:2" x14ac:dyDescent="0.3">
      <c r="B11" s="65" t="s">
        <v>185</v>
      </c>
    </row>
    <row r="12" spans="1:2" x14ac:dyDescent="0.3">
      <c r="B12" s="65" t="s">
        <v>186</v>
      </c>
    </row>
    <row r="13" spans="1:2" x14ac:dyDescent="0.3">
      <c r="B13" s="65" t="s">
        <v>187</v>
      </c>
    </row>
    <row r="14" spans="1:2" x14ac:dyDescent="0.3">
      <c r="B14" s="65" t="s">
        <v>188</v>
      </c>
    </row>
    <row r="15" spans="1:2" x14ac:dyDescent="0.3">
      <c r="B15" s="65" t="s">
        <v>189</v>
      </c>
    </row>
    <row r="16" spans="1:2" x14ac:dyDescent="0.3">
      <c r="B16" s="65" t="s">
        <v>190</v>
      </c>
    </row>
    <row r="17" spans="2:2" x14ac:dyDescent="0.3">
      <c r="B17" s="65" t="s">
        <v>191</v>
      </c>
    </row>
    <row r="18" spans="2:2" x14ac:dyDescent="0.3">
      <c r="B18" s="65" t="s">
        <v>192</v>
      </c>
    </row>
    <row r="19" spans="2:2" x14ac:dyDescent="0.3">
      <c r="B19" s="65" t="s">
        <v>193</v>
      </c>
    </row>
    <row r="20" spans="2:2" x14ac:dyDescent="0.3">
      <c r="B20" s="65" t="s">
        <v>194</v>
      </c>
    </row>
    <row r="21" spans="2:2" x14ac:dyDescent="0.3">
      <c r="B21" s="65" t="s">
        <v>195</v>
      </c>
    </row>
    <row r="22" spans="2:2" x14ac:dyDescent="0.3">
      <c r="B22" s="65" t="s">
        <v>196</v>
      </c>
    </row>
    <row r="23" spans="2:2" x14ac:dyDescent="0.3">
      <c r="B23" s="65" t="s">
        <v>197</v>
      </c>
    </row>
    <row r="24" spans="2:2" x14ac:dyDescent="0.3">
      <c r="B24" s="65"/>
    </row>
    <row r="25" spans="2:2" x14ac:dyDescent="0.3">
      <c r="B25" s="66" t="s">
        <v>198</v>
      </c>
    </row>
    <row r="26" spans="2:2" x14ac:dyDescent="0.3">
      <c r="B26" s="65" t="s">
        <v>199</v>
      </c>
    </row>
    <row r="27" spans="2:2" x14ac:dyDescent="0.3">
      <c r="B27" s="65" t="s">
        <v>200</v>
      </c>
    </row>
    <row r="28" spans="2:2" x14ac:dyDescent="0.3">
      <c r="B28" s="65" t="s">
        <v>201</v>
      </c>
    </row>
    <row r="29" spans="2:2" x14ac:dyDescent="0.3">
      <c r="B29" s="65" t="s">
        <v>202</v>
      </c>
    </row>
    <row r="30" spans="2:2" x14ac:dyDescent="0.3">
      <c r="B30" s="65" t="s">
        <v>203</v>
      </c>
    </row>
    <row r="31" spans="2:2" x14ac:dyDescent="0.3">
      <c r="B31" s="65" t="s">
        <v>204</v>
      </c>
    </row>
    <row r="32" spans="2:2" x14ac:dyDescent="0.3">
      <c r="B32" s="65" t="s">
        <v>205</v>
      </c>
    </row>
    <row r="33" spans="2:2" x14ac:dyDescent="0.3">
      <c r="B33" s="65" t="s">
        <v>206</v>
      </c>
    </row>
    <row r="34" spans="2:2" x14ac:dyDescent="0.3">
      <c r="B34" s="65" t="s">
        <v>207</v>
      </c>
    </row>
    <row r="35" spans="2:2" x14ac:dyDescent="0.3">
      <c r="B35" s="65" t="s">
        <v>208</v>
      </c>
    </row>
    <row r="36" spans="2:2" x14ac:dyDescent="0.3">
      <c r="B36" s="65" t="s">
        <v>209</v>
      </c>
    </row>
    <row r="37" spans="2:2" x14ac:dyDescent="0.3">
      <c r="B37" s="65" t="s">
        <v>210</v>
      </c>
    </row>
    <row r="38" spans="2:2" x14ac:dyDescent="0.3">
      <c r="B38" s="65" t="s">
        <v>211</v>
      </c>
    </row>
    <row r="39" spans="2:2" x14ac:dyDescent="0.3">
      <c r="B39" s="65" t="s">
        <v>212</v>
      </c>
    </row>
    <row r="40" spans="2:2" x14ac:dyDescent="0.3">
      <c r="B40" s="65"/>
    </row>
    <row r="41" spans="2:2" x14ac:dyDescent="0.3">
      <c r="B41" s="66" t="s">
        <v>213</v>
      </c>
    </row>
    <row r="42" spans="2:2" x14ac:dyDescent="0.3">
      <c r="B42" s="65" t="s">
        <v>214</v>
      </c>
    </row>
    <row r="43" spans="2:2" x14ac:dyDescent="0.3">
      <c r="B43" s="65" t="s">
        <v>215</v>
      </c>
    </row>
    <row r="44" spans="2:2" x14ac:dyDescent="0.3">
      <c r="B44" s="65" t="s">
        <v>216</v>
      </c>
    </row>
    <row r="45" spans="2:2" x14ac:dyDescent="0.3">
      <c r="B45" s="65" t="s">
        <v>217</v>
      </c>
    </row>
    <row r="46" spans="2:2" x14ac:dyDescent="0.3">
      <c r="B46" s="65" t="s">
        <v>218</v>
      </c>
    </row>
    <row r="47" spans="2:2" x14ac:dyDescent="0.3">
      <c r="B47" s="65" t="s">
        <v>219</v>
      </c>
    </row>
    <row r="48" spans="2:2" x14ac:dyDescent="0.3">
      <c r="B48" s="65" t="s">
        <v>220</v>
      </c>
    </row>
    <row r="49" spans="2:2" x14ac:dyDescent="0.3">
      <c r="B49" s="65" t="s">
        <v>221</v>
      </c>
    </row>
    <row r="50" spans="2:2" x14ac:dyDescent="0.3">
      <c r="B50" s="65" t="s">
        <v>222</v>
      </c>
    </row>
    <row r="51" spans="2:2" x14ac:dyDescent="0.3">
      <c r="B51" s="65" t="s">
        <v>223</v>
      </c>
    </row>
    <row r="52" spans="2:2" x14ac:dyDescent="0.3">
      <c r="B52" s="65" t="s">
        <v>224</v>
      </c>
    </row>
    <row r="53" spans="2:2" x14ac:dyDescent="0.3">
      <c r="B53" s="65" t="s">
        <v>225</v>
      </c>
    </row>
    <row r="54" spans="2:2" x14ac:dyDescent="0.3">
      <c r="B54" s="65" t="s">
        <v>226</v>
      </c>
    </row>
    <row r="55" spans="2:2" x14ac:dyDescent="0.3">
      <c r="B55" s="65" t="s">
        <v>227</v>
      </c>
    </row>
    <row r="56" spans="2:2" x14ac:dyDescent="0.3">
      <c r="B56" s="65" t="s">
        <v>228</v>
      </c>
    </row>
    <row r="57" spans="2:2" x14ac:dyDescent="0.3">
      <c r="B57" s="65" t="s">
        <v>229</v>
      </c>
    </row>
    <row r="58" spans="2:2" x14ac:dyDescent="0.3">
      <c r="B58" s="65" t="s">
        <v>230</v>
      </c>
    </row>
    <row r="59" spans="2:2" x14ac:dyDescent="0.3">
      <c r="B59" s="65" t="s">
        <v>231</v>
      </c>
    </row>
    <row r="60" spans="2:2" x14ac:dyDescent="0.3">
      <c r="B60" s="65" t="s">
        <v>232</v>
      </c>
    </row>
    <row r="61" spans="2:2" x14ac:dyDescent="0.3">
      <c r="B61" s="65" t="s">
        <v>233</v>
      </c>
    </row>
    <row r="62" spans="2:2" x14ac:dyDescent="0.3">
      <c r="B62" s="65"/>
    </row>
    <row r="63" spans="2:2" x14ac:dyDescent="0.3">
      <c r="B63" s="66" t="s">
        <v>234</v>
      </c>
    </row>
    <row r="64" spans="2:2" x14ac:dyDescent="0.3">
      <c r="B64" s="65" t="s">
        <v>235</v>
      </c>
    </row>
    <row r="65" spans="2:2" x14ac:dyDescent="0.3">
      <c r="B65" s="65" t="s">
        <v>236</v>
      </c>
    </row>
    <row r="66" spans="2:2" x14ac:dyDescent="0.3">
      <c r="B66" s="65" t="s">
        <v>237</v>
      </c>
    </row>
    <row r="67" spans="2:2" x14ac:dyDescent="0.3">
      <c r="B67" s="65" t="s">
        <v>238</v>
      </c>
    </row>
    <row r="68" spans="2:2" x14ac:dyDescent="0.3">
      <c r="B68" s="65" t="s">
        <v>239</v>
      </c>
    </row>
    <row r="69" spans="2:2" x14ac:dyDescent="0.3">
      <c r="B69" s="65" t="s">
        <v>240</v>
      </c>
    </row>
    <row r="70" spans="2:2" x14ac:dyDescent="0.3">
      <c r="B70" s="65" t="s">
        <v>241</v>
      </c>
    </row>
    <row r="71" spans="2:2" x14ac:dyDescent="0.3">
      <c r="B71" s="65" t="s">
        <v>242</v>
      </c>
    </row>
    <row r="72" spans="2:2" x14ac:dyDescent="0.3">
      <c r="B72" s="65" t="s">
        <v>243</v>
      </c>
    </row>
    <row r="73" spans="2:2" x14ac:dyDescent="0.3">
      <c r="B73" s="65" t="s">
        <v>244</v>
      </c>
    </row>
    <row r="74" spans="2:2" x14ac:dyDescent="0.3">
      <c r="B74" s="65"/>
    </row>
    <row r="75" spans="2:2" x14ac:dyDescent="0.3">
      <c r="B75" s="65" t="s">
        <v>245</v>
      </c>
    </row>
    <row r="76" spans="2:2" x14ac:dyDescent="0.3">
      <c r="B76" s="65" t="s">
        <v>246</v>
      </c>
    </row>
    <row r="77" spans="2:2" x14ac:dyDescent="0.3">
      <c r="B77" s="65" t="s">
        <v>247</v>
      </c>
    </row>
    <row r="78" spans="2:2" x14ac:dyDescent="0.3">
      <c r="B78" s="65" t="s">
        <v>248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Debt Schedule</vt:lpstr>
      <vt:lpstr>Calculations</vt:lpstr>
      <vt:lpstr>Cash Flows</vt:lpstr>
      <vt:lpstr>Dashboard</vt:lpstr>
      <vt:lpstr>Python_Reference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Shreshta Nagesh</cp:lastModifiedBy>
  <cp:revision>1</cp:revision>
  <dcterms:created xsi:type="dcterms:W3CDTF">2026-04-04T05:42:44Z</dcterms:created>
  <dcterms:modified xsi:type="dcterms:W3CDTF">2026-06-15T16:34:13Z</dcterms:modified>
  <dc:language>en-US</dc:language>
</cp:coreProperties>
</file>